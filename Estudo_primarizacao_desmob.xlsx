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pssacombr.sharepoint.com/sites/Controle-CE/Documentos Compartilhados/Controle - CE/11 - Nova/04 - MB/sites/"/>
    </mc:Choice>
  </mc:AlternateContent>
  <xr:revisionPtr revIDLastSave="4" documentId="13_ncr:1_{995E8CEF-E4A2-43B9-BAF1-6E3E6372182C}" xr6:coauthVersionLast="47" xr6:coauthVersionMax="47" xr10:uidLastSave="{9A91B43A-B11F-4EFA-B807-95DB81DB7DE6}"/>
  <bookViews>
    <workbookView xWindow="-20610" yWindow="-120" windowWidth="20730" windowHeight="11040" activeTab="2" xr2:uid="{00000000-000D-0000-FFFF-FFFF00000000}"/>
  </bookViews>
  <sheets>
    <sheet name="Painel" sheetId="4" r:id="rId1"/>
    <sheet name="Cortes" sheetId="7" r:id="rId2"/>
    <sheet name="Base - Equipes Placas" sheetId="1" r:id="rId3"/>
    <sheet name="Ajuste" sheetId="3" r:id="rId4"/>
    <sheet name="Plano Viaturas" sheetId="5" r:id="rId5"/>
    <sheet name="Viaturas" sheetId="9" r:id="rId6"/>
    <sheet name="Resumo Mensal" sheetId="6" r:id="rId7"/>
  </sheets>
  <externalReferences>
    <externalReference r:id="rId8"/>
  </externalReferences>
  <definedNames>
    <definedName name="_xlnm._FilterDatabase" localSheetId="4" hidden="1">'Plano Viaturas'!$A$1:$J$71</definedName>
    <definedName name="_xlnm._FilterDatabase" localSheetId="5" hidden="1">Viaturas!$A$1:$F$98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9" l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7" i="9"/>
  <c r="E88" i="9"/>
  <c r="E90" i="9"/>
  <c r="E91" i="9"/>
  <c r="E92" i="9"/>
  <c r="E93" i="9"/>
  <c r="E94" i="9"/>
  <c r="E95" i="9"/>
  <c r="E96" i="9"/>
  <c r="E97" i="9"/>
  <c r="E98" i="9"/>
  <c r="E2" i="9"/>
  <c r="C98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2" i="9"/>
  <c r="C34" i="9"/>
  <c r="C35" i="9"/>
  <c r="C36" i="9"/>
  <c r="C38" i="9"/>
  <c r="C39" i="9"/>
  <c r="C40" i="9"/>
  <c r="C41" i="9"/>
  <c r="C42" i="9"/>
  <c r="C43" i="9"/>
  <c r="C44" i="9"/>
  <c r="C46" i="9"/>
  <c r="C47" i="9"/>
  <c r="C48" i="9"/>
  <c r="C49" i="9"/>
  <c r="C50" i="9"/>
  <c r="C51" i="9"/>
  <c r="C52" i="9"/>
  <c r="C54" i="9"/>
  <c r="C57" i="9"/>
  <c r="C65" i="9"/>
  <c r="C66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7" i="9"/>
  <c r="C91" i="9"/>
  <c r="C92" i="9"/>
  <c r="C93" i="9"/>
  <c r="C94" i="9"/>
  <c r="C95" i="9"/>
  <c r="C96" i="9"/>
  <c r="C97" i="9"/>
  <c r="H5" i="6"/>
  <c r="J19" i="4" s="1"/>
  <c r="H6" i="6"/>
  <c r="J20" i="4" s="1"/>
  <c r="H7" i="6"/>
  <c r="J21" i="4" s="1"/>
  <c r="H8" i="6"/>
  <c r="H9" i="6"/>
  <c r="H4" i="6"/>
  <c r="J18" i="4"/>
  <c r="Q9" i="6"/>
  <c r="Q8" i="6"/>
  <c r="Q7" i="6"/>
  <c r="Q6" i="6"/>
  <c r="Q5" i="6"/>
  <c r="Q4" i="6"/>
  <c r="G5" i="6"/>
  <c r="G6" i="6"/>
  <c r="G7" i="6"/>
  <c r="G8" i="6"/>
  <c r="G9" i="6"/>
  <c r="G4" i="6"/>
  <c r="F9" i="6"/>
  <c r="F8" i="6"/>
  <c r="F6" i="6"/>
  <c r="F5" i="6"/>
  <c r="F4" i="6"/>
  <c r="F7" i="6"/>
  <c r="J22" i="4"/>
  <c r="J23" i="4"/>
  <c r="Y8" i="7" l="1"/>
  <c r="AA6" i="7"/>
  <c r="AA7" i="7"/>
  <c r="AA8" i="7"/>
  <c r="AA5" i="7"/>
  <c r="Z8" i="7"/>
  <c r="Z7" i="7"/>
  <c r="Z6" i="7"/>
  <c r="Z5" i="7"/>
  <c r="V4" i="7"/>
  <c r="U6" i="7"/>
  <c r="W6" i="7" s="1"/>
  <c r="X6" i="7" s="1"/>
  <c r="Y6" i="7" s="1"/>
  <c r="U7" i="7"/>
  <c r="W7" i="7" s="1"/>
  <c r="X7" i="7" s="1"/>
  <c r="Y7" i="7" s="1"/>
  <c r="U8" i="7"/>
  <c r="W8" i="7" s="1"/>
  <c r="U5" i="7"/>
  <c r="W5" i="7" s="1"/>
  <c r="O19" i="7"/>
  <c r="P19" i="7"/>
  <c r="R19" i="7"/>
  <c r="S19" i="7"/>
  <c r="T19" i="7"/>
  <c r="U18" i="7"/>
  <c r="U17" i="7"/>
  <c r="U16" i="7"/>
  <c r="U15" i="7"/>
  <c r="N19" i="7"/>
  <c r="Q16" i="7"/>
  <c r="Q17" i="7"/>
  <c r="Q18" i="7"/>
  <c r="Q15" i="7"/>
  <c r="Q19" i="7" s="1"/>
  <c r="T6" i="7"/>
  <c r="T7" i="7"/>
  <c r="T8" i="7"/>
  <c r="T5" i="7"/>
  <c r="R5" i="7"/>
  <c r="R6" i="7"/>
  <c r="R7" i="7"/>
  <c r="R8" i="7"/>
  <c r="G19" i="7"/>
  <c r="C19" i="7"/>
  <c r="B19" i="7"/>
  <c r="D18" i="7"/>
  <c r="F18" i="7" s="1"/>
  <c r="D17" i="7"/>
  <c r="F17" i="7" s="1"/>
  <c r="D16" i="7"/>
  <c r="F16" i="7" s="1"/>
  <c r="D15" i="7"/>
  <c r="F15" i="7" s="1"/>
  <c r="X8" i="7" l="1"/>
  <c r="X5" i="7"/>
  <c r="Y5" i="7" s="1"/>
  <c r="U19" i="7"/>
  <c r="H16" i="7"/>
  <c r="Y4" i="7"/>
  <c r="U4" i="7"/>
  <c r="W4" i="7" s="1"/>
  <c r="H18" i="7"/>
  <c r="H17" i="7"/>
  <c r="H15" i="7"/>
  <c r="T4" i="7"/>
  <c r="D19" i="7"/>
  <c r="X4" i="7" l="1"/>
  <c r="F19" i="7"/>
  <c r="H19" i="7"/>
  <c r="I23" i="4"/>
  <c r="H23" i="4"/>
  <c r="E23" i="4"/>
  <c r="D23" i="4"/>
  <c r="C23" i="4"/>
  <c r="B23" i="4"/>
  <c r="A23" i="4"/>
  <c r="I22" i="4"/>
  <c r="H22" i="4"/>
  <c r="E22" i="4"/>
  <c r="D22" i="4"/>
  <c r="C22" i="4"/>
  <c r="B22" i="4"/>
  <c r="A22" i="4"/>
  <c r="I21" i="4"/>
  <c r="H21" i="4"/>
  <c r="E21" i="4"/>
  <c r="D21" i="4"/>
  <c r="C21" i="4"/>
  <c r="B21" i="4"/>
  <c r="A21" i="4"/>
  <c r="I20" i="4"/>
  <c r="H20" i="4"/>
  <c r="E20" i="4"/>
  <c r="D20" i="4"/>
  <c r="C20" i="4"/>
  <c r="B20" i="4"/>
  <c r="A20" i="4"/>
  <c r="I19" i="4"/>
  <c r="H19" i="4"/>
  <c r="E19" i="4"/>
  <c r="D19" i="4"/>
  <c r="C19" i="4"/>
  <c r="B19" i="4"/>
  <c r="A19" i="4"/>
  <c r="I18" i="4"/>
  <c r="H18" i="4"/>
  <c r="E18" i="4"/>
  <c r="D18" i="4"/>
  <c r="C18" i="4"/>
  <c r="B18" i="4"/>
  <c r="A18" i="4"/>
  <c r="N89" i="1"/>
  <c r="M89" i="1" s="1"/>
  <c r="N88" i="1"/>
  <c r="M88" i="1" s="1"/>
  <c r="N87" i="1"/>
  <c r="M87" i="1" s="1"/>
  <c r="N86" i="1"/>
  <c r="M86" i="1" s="1"/>
  <c r="N85" i="1"/>
  <c r="M85" i="1" s="1"/>
  <c r="N84" i="1"/>
  <c r="M84" i="1" s="1"/>
  <c r="N83" i="1"/>
  <c r="M83" i="1" s="1"/>
  <c r="N80" i="1"/>
  <c r="M80" i="1" s="1"/>
  <c r="N79" i="1"/>
  <c r="M79" i="1" s="1"/>
  <c r="N78" i="1"/>
  <c r="M78" i="1" s="1"/>
  <c r="N77" i="1"/>
  <c r="M77" i="1" s="1"/>
  <c r="N76" i="1"/>
  <c r="M76" i="1" s="1"/>
  <c r="N75" i="1"/>
  <c r="M75" i="1" s="1"/>
  <c r="N70" i="1"/>
  <c r="M70" i="1" s="1"/>
  <c r="N71" i="1"/>
  <c r="M71" i="1" s="1"/>
  <c r="N74" i="1"/>
  <c r="M74" i="1" s="1"/>
  <c r="N73" i="1"/>
  <c r="M73" i="1" s="1"/>
  <c r="N72" i="1"/>
  <c r="M72" i="1" s="1"/>
  <c r="N69" i="1"/>
  <c r="M69" i="1" s="1"/>
  <c r="N68" i="1"/>
  <c r="M68" i="1" s="1"/>
  <c r="N67" i="1"/>
  <c r="M67" i="1" s="1"/>
  <c r="N66" i="1"/>
  <c r="M66" i="1" s="1"/>
  <c r="N65" i="1"/>
  <c r="M65" i="1" s="1"/>
  <c r="N64" i="1"/>
  <c r="M64" i="1" s="1"/>
  <c r="N62" i="1"/>
  <c r="M62" i="1" s="1"/>
  <c r="N61" i="1"/>
  <c r="M61" i="1" s="1"/>
  <c r="N63" i="1"/>
  <c r="M63" i="1" s="1"/>
  <c r="N60" i="1"/>
  <c r="M60" i="1" s="1"/>
  <c r="N59" i="1"/>
  <c r="M59" i="1" s="1"/>
  <c r="N56" i="1"/>
  <c r="M56" i="1" s="1"/>
  <c r="N58" i="1"/>
  <c r="M58" i="1" s="1"/>
  <c r="N55" i="1"/>
  <c r="M55" i="1" s="1"/>
  <c r="N57" i="1"/>
  <c r="M57" i="1" s="1"/>
  <c r="N54" i="1"/>
  <c r="M54" i="1" s="1"/>
  <c r="N53" i="1"/>
  <c r="M53" i="1" s="1"/>
  <c r="N81" i="1"/>
  <c r="M81" i="1" s="1"/>
  <c r="N82" i="1"/>
  <c r="M82" i="1" s="1"/>
  <c r="N52" i="1"/>
  <c r="M52" i="1" s="1"/>
  <c r="N51" i="1"/>
  <c r="M51" i="1" s="1"/>
  <c r="N50" i="1"/>
  <c r="M50" i="1" s="1"/>
  <c r="N49" i="1"/>
  <c r="M49" i="1" s="1"/>
  <c r="N48" i="1"/>
  <c r="M48" i="1" s="1"/>
  <c r="N47" i="1"/>
  <c r="M47" i="1" s="1"/>
  <c r="N46" i="1"/>
  <c r="M46" i="1" s="1"/>
  <c r="N45" i="1"/>
  <c r="M45" i="1" s="1"/>
  <c r="N44" i="1"/>
  <c r="M44" i="1" s="1"/>
  <c r="N43" i="1"/>
  <c r="M43" i="1" s="1"/>
  <c r="N42" i="1"/>
  <c r="M42" i="1" s="1"/>
  <c r="N41" i="1"/>
  <c r="M41" i="1" s="1"/>
  <c r="N40" i="1"/>
  <c r="M40" i="1" s="1"/>
  <c r="N39" i="1"/>
  <c r="M39" i="1" s="1"/>
  <c r="N38" i="1"/>
  <c r="M38" i="1" s="1"/>
  <c r="N37" i="1"/>
  <c r="M37" i="1" s="1"/>
  <c r="N36" i="1"/>
  <c r="M36" i="1" s="1"/>
  <c r="N35" i="1"/>
  <c r="M35" i="1" s="1"/>
  <c r="N34" i="1"/>
  <c r="M34" i="1" s="1"/>
  <c r="N33" i="1"/>
  <c r="M33" i="1" s="1"/>
  <c r="N32" i="1"/>
  <c r="M32" i="1" s="1"/>
  <c r="N31" i="1"/>
  <c r="M31" i="1" s="1"/>
  <c r="N30" i="1"/>
  <c r="M30" i="1" s="1"/>
  <c r="N29" i="1"/>
  <c r="M29" i="1" s="1"/>
  <c r="N28" i="1"/>
  <c r="M28" i="1" s="1"/>
  <c r="N27" i="1"/>
  <c r="M27" i="1" s="1"/>
  <c r="N26" i="1"/>
  <c r="M26" i="1" s="1"/>
  <c r="N25" i="1"/>
  <c r="M25" i="1" s="1"/>
  <c r="N24" i="1"/>
  <c r="M24" i="1" s="1"/>
  <c r="N23" i="1"/>
  <c r="M23" i="1" s="1"/>
  <c r="N22" i="1"/>
  <c r="M22" i="1" s="1"/>
  <c r="N21" i="1"/>
  <c r="M21" i="1" s="1"/>
  <c r="N20" i="1"/>
  <c r="M20" i="1" s="1"/>
  <c r="N19" i="1"/>
  <c r="M19" i="1" s="1"/>
  <c r="N18" i="1"/>
  <c r="M18" i="1" s="1"/>
  <c r="N17" i="1"/>
  <c r="M17" i="1" s="1"/>
  <c r="N16" i="1"/>
  <c r="M16" i="1" s="1"/>
  <c r="N15" i="1"/>
  <c r="M15" i="1" s="1"/>
  <c r="N14" i="1"/>
  <c r="M14" i="1" s="1"/>
  <c r="N13" i="1"/>
  <c r="M13" i="1" s="1"/>
  <c r="N12" i="1"/>
  <c r="M12" i="1" s="1"/>
  <c r="N11" i="1"/>
  <c r="M11" i="1" s="1"/>
  <c r="N10" i="1"/>
  <c r="M10" i="1" s="1"/>
  <c r="N9" i="1"/>
  <c r="M9" i="1" s="1"/>
  <c r="N8" i="1"/>
  <c r="M8" i="1" s="1"/>
  <c r="N7" i="1"/>
  <c r="M7" i="1" s="1"/>
  <c r="N6" i="1"/>
  <c r="M6" i="1" s="1"/>
  <c r="N5" i="1"/>
  <c r="M5" i="1" s="1"/>
  <c r="N4" i="1"/>
  <c r="M4" i="1" s="1"/>
  <c r="N3" i="1"/>
  <c r="M3" i="1" s="1"/>
  <c r="N2" i="1"/>
  <c r="M2" i="1" s="1"/>
</calcChain>
</file>

<file path=xl/sharedStrings.xml><?xml version="1.0" encoding="utf-8"?>
<sst xmlns="http://schemas.openxmlformats.org/spreadsheetml/2006/main" count="1758" uniqueCount="391">
  <si>
    <t>Equipes</t>
  </si>
  <si>
    <t>Estrutura</t>
  </si>
  <si>
    <t>Subprocesso</t>
  </si>
  <si>
    <t>Supervisor</t>
  </si>
  <si>
    <t>Polo</t>
  </si>
  <si>
    <t>Localidade</t>
  </si>
  <si>
    <t>MOBILIZAÇÃO</t>
  </si>
  <si>
    <t>DESMOBIZAÇÃO</t>
  </si>
  <si>
    <t>PLACA</t>
  </si>
  <si>
    <t>CARRO COMPARTILHADO</t>
  </si>
  <si>
    <t>Meta Hoje</t>
  </si>
  <si>
    <t>Meta pós Reajuste</t>
  </si>
  <si>
    <t>Reajuste</t>
  </si>
  <si>
    <t>CND-LB-20B</t>
  </si>
  <si>
    <t>Vistoria Virtual - Eloisa</t>
  </si>
  <si>
    <t>CORTE, RELIGA, LIGAÇÃO NOVA</t>
  </si>
  <si>
    <t>LUCILA MARIA CABRAL ARAUJO</t>
  </si>
  <si>
    <t>CANINDE</t>
  </si>
  <si>
    <t>MOBILIZADA</t>
  </si>
  <si>
    <t>NÃO</t>
  </si>
  <si>
    <t>SEM PLACA</t>
  </si>
  <si>
    <t>SEM CARRO</t>
  </si>
  <si>
    <t>CND-LM-28B</t>
  </si>
  <si>
    <t>Pick Up Leve 4x2</t>
  </si>
  <si>
    <t>FELIPE PAIXAO DA SILVA</t>
  </si>
  <si>
    <t>TDU6A09</t>
  </si>
  <si>
    <t>NÃO COMPARTILHA</t>
  </si>
  <si>
    <t>QXD-LM-24B</t>
  </si>
  <si>
    <t>DIEGO ALAN ANDRE BATISTA</t>
  </si>
  <si>
    <t>QUIXADA</t>
  </si>
  <si>
    <t>QUIXADÁ</t>
  </si>
  <si>
    <t>TDU6A92</t>
  </si>
  <si>
    <t>CND-LM-25B</t>
  </si>
  <si>
    <t>TDU6A93</t>
  </si>
  <si>
    <t>CND-MO-22B</t>
  </si>
  <si>
    <t>Moto</t>
  </si>
  <si>
    <t>MOTO CORTE</t>
  </si>
  <si>
    <t>TDU6A94</t>
  </si>
  <si>
    <t>CAT-LM-25B</t>
  </si>
  <si>
    <t>RODENBERG ROSENDO DE MORAIS</t>
  </si>
  <si>
    <t>CRATEUS</t>
  </si>
  <si>
    <t>TDU6A95</t>
  </si>
  <si>
    <t>QXD-MO-23B</t>
  </si>
  <si>
    <t>TDU6A96</t>
  </si>
  <si>
    <t>CND-LM-22B</t>
  </si>
  <si>
    <t>TDU6A97</t>
  </si>
  <si>
    <t>NVR-LM-22B</t>
  </si>
  <si>
    <t>ANTONIO REGIS LEMOS OLIVEIRA</t>
  </si>
  <si>
    <t>NOVA RUSSAS</t>
  </si>
  <si>
    <t>TDU6A99</t>
  </si>
  <si>
    <t>CNB-LM-27B</t>
  </si>
  <si>
    <t>Pick Up Leve 4x4 - Escada Central</t>
  </si>
  <si>
    <t>BOA VIAGEM</t>
  </si>
  <si>
    <t>TDU6B00</t>
  </si>
  <si>
    <t>CAT-LM-23B</t>
  </si>
  <si>
    <t>TDU6B01</t>
  </si>
  <si>
    <t>NVR-MO-21B</t>
  </si>
  <si>
    <t>TDU6B02</t>
  </si>
  <si>
    <t>NVR-LM-25B</t>
  </si>
  <si>
    <t>TDU6B04</t>
  </si>
  <si>
    <t>CAT-LM-21B</t>
  </si>
  <si>
    <t>TDU6B06</t>
  </si>
  <si>
    <t>NVQ-LM-31B</t>
  </si>
  <si>
    <t>SANTA QUITERIA</t>
  </si>
  <si>
    <t>TDU6B07</t>
  </si>
  <si>
    <t>CAT-LM-24B</t>
  </si>
  <si>
    <t>TDU6B08</t>
  </si>
  <si>
    <t>QXB-LM-26B</t>
  </si>
  <si>
    <t>QUIXERAMOBIM</t>
  </si>
  <si>
    <t>TDU6B10</t>
  </si>
  <si>
    <t>QXD-LM-29B</t>
  </si>
  <si>
    <t>TDU6B14</t>
  </si>
  <si>
    <t>CAT-LM-22B</t>
  </si>
  <si>
    <t>TDU6B25</t>
  </si>
  <si>
    <t>NVR-LM-21B</t>
  </si>
  <si>
    <t>TDU6B26</t>
  </si>
  <si>
    <t>QXD-LM-23B</t>
  </si>
  <si>
    <t>TDU6B27</t>
  </si>
  <si>
    <t>CND-LM-23B</t>
  </si>
  <si>
    <t>TDU6B28</t>
  </si>
  <si>
    <t>NVR-LM-23B</t>
  </si>
  <si>
    <t>TDU6B30</t>
  </si>
  <si>
    <t>NVR-LM-26B</t>
  </si>
  <si>
    <t>TDU6B31</t>
  </si>
  <si>
    <t>CNB-LM-24B</t>
  </si>
  <si>
    <t>TDU6B32</t>
  </si>
  <si>
    <t>NVQ-LM-30B</t>
  </si>
  <si>
    <t>TDU6B33</t>
  </si>
  <si>
    <t>CND-LM-30B</t>
  </si>
  <si>
    <t>TDU6B34</t>
  </si>
  <si>
    <t>NVR-LM-27B</t>
  </si>
  <si>
    <t>TDU6B35</t>
  </si>
  <si>
    <t>CND-LM-29B</t>
  </si>
  <si>
    <t>TDU6B36</t>
  </si>
  <si>
    <t>QXD-LM-27B</t>
  </si>
  <si>
    <t>TDU6B38</t>
  </si>
  <si>
    <t>NVR-LM-28B</t>
  </si>
  <si>
    <t>TDU6B39</t>
  </si>
  <si>
    <t>QXD-MO-22B</t>
  </si>
  <si>
    <t>TDU6B40</t>
  </si>
  <si>
    <t>CND-MO-23B</t>
  </si>
  <si>
    <t>TDU6B41</t>
  </si>
  <si>
    <t>QXD-LM-22B</t>
  </si>
  <si>
    <t>TDU6B96</t>
  </si>
  <si>
    <t>GRUPO A</t>
  </si>
  <si>
    <t>Caminhão SKY</t>
  </si>
  <si>
    <t>TES4E19</t>
  </si>
  <si>
    <t>NVM-RD-21B</t>
  </si>
  <si>
    <t>Pick Up Média 4x4</t>
  </si>
  <si>
    <t>EMERGENCIA</t>
  </si>
  <si>
    <t>JEAN LIRA DE ARAUJO</t>
  </si>
  <si>
    <t>MONSENHOR TABOSA</t>
  </si>
  <si>
    <t>TIZ7G43</t>
  </si>
  <si>
    <t>QXD-RD-21D</t>
  </si>
  <si>
    <t>ALEX DE OLIVEIRA LIMA</t>
  </si>
  <si>
    <t>TJB4F14</t>
  </si>
  <si>
    <t>COMPARTILHA</t>
  </si>
  <si>
    <t>QXD-RD-22B</t>
  </si>
  <si>
    <t>NVV-RD-21B</t>
  </si>
  <si>
    <t>VARJOTA</t>
  </si>
  <si>
    <t>TJD1C62</t>
  </si>
  <si>
    <t>NVV-RD-21C</t>
  </si>
  <si>
    <t>QXD-RD-23B</t>
  </si>
  <si>
    <t>Pick Up Média 4x4 TAC</t>
  </si>
  <si>
    <t>TJD6E41</t>
  </si>
  <si>
    <t>CAT-RD-23C</t>
  </si>
  <si>
    <t>TJF4F81</t>
  </si>
  <si>
    <t>CND-RD-23B</t>
  </si>
  <si>
    <t>SIDNEY DIAS BARROSO</t>
  </si>
  <si>
    <t>DESMOBILIZADA</t>
  </si>
  <si>
    <t>TJF6134</t>
  </si>
  <si>
    <t>NVR-RD-21C</t>
  </si>
  <si>
    <t>TJF6I57</t>
  </si>
  <si>
    <t>NVR-RD-23B</t>
  </si>
  <si>
    <t>CAT-RD-22C</t>
  </si>
  <si>
    <t>TJK3A62</t>
  </si>
  <si>
    <t>CAT-RD-21B</t>
  </si>
  <si>
    <t>TJN5B95</t>
  </si>
  <si>
    <t>NVR-RD-21D</t>
  </si>
  <si>
    <t>TJN7H18</t>
  </si>
  <si>
    <t>NVI-RD-22B</t>
  </si>
  <si>
    <t>CND-LM-21B</t>
  </si>
  <si>
    <t>TJP3C85</t>
  </si>
  <si>
    <t>CND-LM-26B</t>
  </si>
  <si>
    <t>TJS4F46</t>
  </si>
  <si>
    <t>NVQ-RD-21D</t>
  </si>
  <si>
    <t>TLP8E36</t>
  </si>
  <si>
    <t>NVQ-RD-21B</t>
  </si>
  <si>
    <t>CND-RD-21B</t>
  </si>
  <si>
    <t>CND-RD-21C</t>
  </si>
  <si>
    <t>QXD-LM-25B</t>
  </si>
  <si>
    <t>TJT9F43</t>
  </si>
  <si>
    <t>NVV-RD-22B</t>
  </si>
  <si>
    <t>TJW2J71</t>
  </si>
  <si>
    <t>CNM-RD-21D</t>
  </si>
  <si>
    <t>MADALENA</t>
  </si>
  <si>
    <t>TKE1C48</t>
  </si>
  <si>
    <t>CNM-RD-21B</t>
  </si>
  <si>
    <t>CNB-RD-21C</t>
  </si>
  <si>
    <t>TKE1J44</t>
  </si>
  <si>
    <t>CNB-RD-21B</t>
  </si>
  <si>
    <t>CAT-RD-21C</t>
  </si>
  <si>
    <t>TKH0I57</t>
  </si>
  <si>
    <t>CNI-RD-21B</t>
  </si>
  <si>
    <t>AMANARI</t>
  </si>
  <si>
    <t>TKH4C80</t>
  </si>
  <si>
    <t>CNI-RD-21C</t>
  </si>
  <si>
    <t>ITATIRA</t>
  </si>
  <si>
    <t>NVR-RD-22B</t>
  </si>
  <si>
    <t>TKN2G17</t>
  </si>
  <si>
    <t>NVR-RD-22C</t>
  </si>
  <si>
    <t>QXB-RD-21B</t>
  </si>
  <si>
    <t>TKO7B34</t>
  </si>
  <si>
    <t>QXB-RD-21C</t>
  </si>
  <si>
    <t>QXB-RD-21D</t>
  </si>
  <si>
    <t>TKQ8A66</t>
  </si>
  <si>
    <t>QXB-RD-22B</t>
  </si>
  <si>
    <t>QXD-LM-28B</t>
  </si>
  <si>
    <t>TKR1A52</t>
  </si>
  <si>
    <t>NVR-LM-24B</t>
  </si>
  <si>
    <t>TKU6B25</t>
  </si>
  <si>
    <t>QXD-LM-30B</t>
  </si>
  <si>
    <t>TKV8C75</t>
  </si>
  <si>
    <t>CND-RD-21D</t>
  </si>
  <si>
    <t>TKX2B12</t>
  </si>
  <si>
    <t>CND-RD-22B</t>
  </si>
  <si>
    <t>CAT-RD-21D</t>
  </si>
  <si>
    <t>TLB5J94</t>
  </si>
  <si>
    <t>CAT-RD-22B</t>
  </si>
  <si>
    <t>QXU-RD-21B</t>
  </si>
  <si>
    <t>BANABUIU</t>
  </si>
  <si>
    <t>TLB8C94</t>
  </si>
  <si>
    <t>QXU-RD-21D</t>
  </si>
  <si>
    <t>NVI-RD-21B</t>
  </si>
  <si>
    <t>IPUEIRAS</t>
  </si>
  <si>
    <t>TLM2C64</t>
  </si>
  <si>
    <t>NVI-RD-21C</t>
  </si>
  <si>
    <t>QXD-RD-21B</t>
  </si>
  <si>
    <t>TMA5I47</t>
  </si>
  <si>
    <t>QXD-RD-21C</t>
  </si>
  <si>
    <t>NVR-RD-21B</t>
  </si>
  <si>
    <t>TMA7A32</t>
  </si>
  <si>
    <t>NVR-MO-23B</t>
  </si>
  <si>
    <t>TOW6C53</t>
  </si>
  <si>
    <t>CAT-MO-21B</t>
  </si>
  <si>
    <t>TOX1F83</t>
  </si>
  <si>
    <t>QXD-MO-21B</t>
  </si>
  <si>
    <t>TOX1G03</t>
  </si>
  <si>
    <t>NVR-MO-22B</t>
  </si>
  <si>
    <t>TOX1G83</t>
  </si>
  <si>
    <t>Ajuste</t>
  </si>
  <si>
    <t>SAÍDAS PREVISTAS
31</t>
  </si>
  <si>
    <t>VIATURAS MAPEADAS
70</t>
  </si>
  <si>
    <t>CENÁRIO FINANCEIRO</t>
  </si>
  <si>
    <t>REEQUILÍBRIO POR TIPO DE EQUIPE</t>
  </si>
  <si>
    <t>Moto Corte</t>
  </si>
  <si>
    <t>Emergência</t>
  </si>
  <si>
    <t>Comercial</t>
  </si>
  <si>
    <t>Grupo A</t>
  </si>
  <si>
    <t>Mês</t>
  </si>
  <si>
    <t>Equipes que saem</t>
  </si>
  <si>
    <t>Acumulado</t>
  </si>
  <si>
    <t>Equipes restantes</t>
  </si>
  <si>
    <t>Redução sem reequilíbrio</t>
  </si>
  <si>
    <t>Contrato sem reequilíbrio</t>
  </si>
  <si>
    <t>Contrato com reequilíbrio</t>
  </si>
  <si>
    <t>Placa</t>
  </si>
  <si>
    <t>Tipo de veículo</t>
  </si>
  <si>
    <t>Equipes vinculadas</t>
  </si>
  <si>
    <t>Qtd. equipes</t>
  </si>
  <si>
    <t>Compartilha?</t>
  </si>
  <si>
    <t>Datas de saída</t>
  </si>
  <si>
    <t>Última saída</t>
  </si>
  <si>
    <t>Situação após desmobilização</t>
  </si>
  <si>
    <t>Decisão final</t>
  </si>
  <si>
    <t>Observação</t>
  </si>
  <si>
    <t>SEM SAÍDA PREVISTA</t>
  </si>
  <si>
    <t>A definir</t>
  </si>
  <si>
    <t>Nov/26</t>
  </si>
  <si>
    <t>FICA LIVRE APÓS ÚLTIMA SAÍDA</t>
  </si>
  <si>
    <t>QXD-RD-21D / QXD-RD-22B</t>
  </si>
  <si>
    <t>SIM</t>
  </si>
  <si>
    <t>Oct/26</t>
  </si>
  <si>
    <t>MANTER - AINDA HÁ EQUIPE</t>
  </si>
  <si>
    <t>NVV-RD-21B / NVV-RD-21C</t>
  </si>
  <si>
    <t>Dec/26</t>
  </si>
  <si>
    <t>Aug/26</t>
  </si>
  <si>
    <t>NVR-RD-21C / NVR-RD-23B</t>
  </si>
  <si>
    <t>Pick Up Média 4x4 / Pick Up Média 4x4 TAC</t>
  </si>
  <si>
    <t>NVR-RD-21D / NVI-RD-22B</t>
  </si>
  <si>
    <t>TJT6J51</t>
  </si>
  <si>
    <t>CND-RD-21B / CND-RD-21C</t>
  </si>
  <si>
    <t>Sep/26</t>
  </si>
  <si>
    <t>CNM-RD-21D / CNM-RD-21B</t>
  </si>
  <si>
    <t>CNB-RD-21C / CNB-RD-21B</t>
  </si>
  <si>
    <t>Aug/26 / Sep/26</t>
  </si>
  <si>
    <t>CNI-RD-21B / CNI-RD-21C</t>
  </si>
  <si>
    <t>Jul/26 / Sep/26</t>
  </si>
  <si>
    <t>NVR-RD-22B / NVR-RD-22C</t>
  </si>
  <si>
    <t>QXB-RD-21B / QXB-RD-21C</t>
  </si>
  <si>
    <t>QXB-RD-21D / QXB-RD-22B</t>
  </si>
  <si>
    <t>CND-RD-21D / CND-RD-22B</t>
  </si>
  <si>
    <t>CAT-RD-21D / CAT-RD-22B</t>
  </si>
  <si>
    <t>QXU-RD-21B / QXU-RD-21D</t>
  </si>
  <si>
    <t>NVI-RD-21B / NVI-RD-21C</t>
  </si>
  <si>
    <t>NVQ-RD-21D / NVQ-RD-21B</t>
  </si>
  <si>
    <t>QXD-RD-21B / QXD-RD-21C</t>
  </si>
  <si>
    <t>RESUMO MENSAL DA DESMOBILIZAÇÃO</t>
  </si>
  <si>
    <t>Acumulado de saídas</t>
  </si>
  <si>
    <t>Redução sem reequilíbrio (R$)</t>
  </si>
  <si>
    <t>Contrato restante sem reequilíbrio (R$)</t>
  </si>
  <si>
    <t>Contrato restante com reequilíbrio (R$)</t>
  </si>
  <si>
    <t>Saída de Equipes</t>
  </si>
  <si>
    <t>PLANO DE DESMOBILIZAÇÃO</t>
  </si>
  <si>
    <t>Total Cortes Débito e Diferente de Débito</t>
  </si>
  <si>
    <t>Dias aptos a corte</t>
  </si>
  <si>
    <t>UO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</si>
  <si>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</si>
  <si>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</si>
  <si>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</si>
  <si>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</si>
  <si>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</si>
  <si>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</si>
  <si>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</si>
  <si>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</si>
  <si>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</si>
  <si>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</si>
  <si>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</si>
  <si>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</si>
  <si>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</si>
  <si>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 Mês</t>
  </si>
  <si>
    <t>Meta/dia</t>
  </si>
  <si>
    <t>Canindé</t>
  </si>
  <si>
    <t>Nova russas</t>
  </si>
  <si>
    <t>Crateús</t>
  </si>
  <si>
    <t>Quixadá</t>
  </si>
  <si>
    <t>Divisão Atual</t>
  </si>
  <si>
    <t>Regional</t>
  </si>
  <si>
    <t>Carro</t>
  </si>
  <si>
    <t>Nova Russas</t>
  </si>
  <si>
    <t>Acréscimo de Equipes (Proposta - Enel)</t>
  </si>
  <si>
    <t>Divisão Proposta</t>
  </si>
  <si>
    <t>Proposta Total - Enel</t>
  </si>
  <si>
    <t>Divisão Proposta - Control</t>
  </si>
  <si>
    <t>Acréscimo de Equipes (Proposta - Control)</t>
  </si>
  <si>
    <t>Proposta Total - Control</t>
  </si>
  <si>
    <t>Qtd Por Equipe Enel</t>
  </si>
  <si>
    <t>Qtd Por Equipe - Control</t>
  </si>
  <si>
    <t>DEMAIS SERVIÇOS - ATUAL</t>
  </si>
  <si>
    <t>CORTE SAVEIRO - PROPOSTO</t>
  </si>
  <si>
    <t>CORTE MOTO - ATUAL</t>
  </si>
  <si>
    <t>CORTE SAVEIRO - ATUAL</t>
  </si>
  <si>
    <t>CORTE MOTO - PROPOSTO</t>
  </si>
  <si>
    <t>DEMAIS SERVIÇOS - PROPOSTO</t>
  </si>
  <si>
    <t>Divisão Atual - Control</t>
  </si>
  <si>
    <t>Total Atual</t>
  </si>
  <si>
    <t>Total - Atual</t>
  </si>
  <si>
    <t>Total - Proposto</t>
  </si>
  <si>
    <t>Atual</t>
  </si>
  <si>
    <t>Incremento</t>
  </si>
  <si>
    <t>Deficit</t>
  </si>
  <si>
    <t>Deficit Corte/dia</t>
  </si>
  <si>
    <t>Qtd Corte/dia Equipes Multiskill</t>
  </si>
  <si>
    <t>Qtd Equipes Multskill</t>
  </si>
  <si>
    <t>UTILIZAR NA MULTSKILL</t>
  </si>
  <si>
    <t>lucila</t>
  </si>
  <si>
    <t>VALOR 2026 PÓS-DESMOBILIZAÇÃO
R$ 3.944.192,763</t>
  </si>
  <si>
    <t>VALOR 2026 ATUAL
R$ 5.276.284,97</t>
  </si>
  <si>
    <t>Valor atual</t>
  </si>
  <si>
    <t>Valor pós</t>
  </si>
  <si>
    <t>Redução sem reequilíbrio acumulada (R$)</t>
  </si>
  <si>
    <t>EQUIPES FINAIS
56</t>
  </si>
  <si>
    <t>QTP9757</t>
  </si>
  <si>
    <t>QTP9837</t>
  </si>
  <si>
    <t>QSL5J07</t>
  </si>
  <si>
    <t>TDU6A98</t>
  </si>
  <si>
    <t>TDU6B09</t>
  </si>
  <si>
    <t>TDU6B12</t>
  </si>
  <si>
    <t>TDU6B29</t>
  </si>
  <si>
    <t>TDU6B03</t>
  </si>
  <si>
    <t>TDU6B11</t>
  </si>
  <si>
    <t>TDU6B15</t>
  </si>
  <si>
    <t>TDU6B16</t>
  </si>
  <si>
    <t>TDU6B05</t>
  </si>
  <si>
    <t>TDU6B37</t>
  </si>
  <si>
    <t>TDU6B13</t>
  </si>
  <si>
    <t>TOX1H13</t>
  </si>
  <si>
    <t>TOX1G23</t>
  </si>
  <si>
    <t>TOX1G63</t>
  </si>
  <si>
    <t>TOX1G93</t>
  </si>
  <si>
    <t>TOX1G43</t>
  </si>
  <si>
    <t>TDU6C02</t>
  </si>
  <si>
    <t>TDU6C01</t>
  </si>
  <si>
    <t>TDU6C03</t>
  </si>
  <si>
    <t>TEB4B37</t>
  </si>
  <si>
    <t>TDU6C11</t>
  </si>
  <si>
    <t>TKK6E03</t>
  </si>
  <si>
    <t>TLN2E48</t>
  </si>
  <si>
    <t>TKU9B25</t>
  </si>
  <si>
    <t>TJK6G43</t>
  </si>
  <si>
    <t>TKZ7A05</t>
  </si>
  <si>
    <t>TJF6I34</t>
  </si>
  <si>
    <t>ELT7J82</t>
  </si>
  <si>
    <t>Modelo</t>
  </si>
  <si>
    <t>XTZ</t>
  </si>
  <si>
    <t>ACCELO</t>
  </si>
  <si>
    <t>HILUX</t>
  </si>
  <si>
    <t>SAVEIRO</t>
  </si>
  <si>
    <t>CROSSER S ABS</t>
  </si>
  <si>
    <t>MOBI</t>
  </si>
  <si>
    <t>TORO</t>
  </si>
  <si>
    <t>ATEGO</t>
  </si>
  <si>
    <t>Staus</t>
  </si>
  <si>
    <t>Suporte Operacional</t>
  </si>
  <si>
    <t>Equipe</t>
  </si>
  <si>
    <t>EM OPERAÇÃO</t>
  </si>
  <si>
    <t>Em operação</t>
  </si>
  <si>
    <t>Felipe</t>
  </si>
  <si>
    <t>Feitosa</t>
  </si>
  <si>
    <t>Jean/Regis</t>
  </si>
  <si>
    <t>Local Rodagem</t>
  </si>
  <si>
    <t>Reserva</t>
  </si>
  <si>
    <t>Desmobilizada</t>
  </si>
  <si>
    <t>NOVA RUSSAS-CE</t>
  </si>
  <si>
    <t>Está no patio de Canindé</t>
  </si>
  <si>
    <t>QUIXADÁ-CE</t>
  </si>
  <si>
    <t>Status Viatura</t>
  </si>
  <si>
    <t>DEVOLVER VIATURA</t>
  </si>
  <si>
    <t>-</t>
  </si>
  <si>
    <t>MANTER VIATURA</t>
  </si>
  <si>
    <t>EQUIPES ATUAIS
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</si>
</sst>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\ #,##0.00"/>
  </numFmts>
  <fonts count="30" x14ac:knownFonts="1">
    <font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color rgb="FF666666"/>
      <name val="Calibri"/>
    </font>
    <font>
      <b/>
      <sz val="14"/>
      <color rgb="FF17365D"/>
      <name val="Calibri"/>
    </font>
    <font>
      <b/>
      <sz val="16"/>
      <color rgb="FF17365D"/>
      <name val="Calibri"/>
    </font>
    <font>
      <b/>
      <sz val="11"/>
      <color rgb="FF17365D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002060"/>
      <name val="Leelawadee UI"/>
      <family val="2"/>
    </font>
    <font>
      <sz val="11"/>
      <color theme="1"/>
      <name val="Leelawadee UI"/>
      <family val="2"/>
    </font>
    <font>
      <b/>
      <sz val="11"/>
      <color rgb="FFFFFFFF"/>
      <name val="Leelawadee UI"/>
      <family val="2"/>
    </font>
    <font>
      <b/>
      <sz val="9"/>
      <color rgb="FF000000"/>
      <name val="Leelawadee UI"/>
      <family val="2"/>
    </font>
    <font>
      <sz val="9"/>
      <color rgb="FF000000"/>
      <name val="Leelawadee UI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17365D"/>
      <name val="Calibri"/>
      <family val="2"/>
    </font>
    <font>
      <b/>
      <sz val="14"/>
      <color rgb="FF17365D"/>
      <name val="Calibri"/>
      <family val="2"/>
    </font>
    <font>
      <sz val="11"/>
      <color rgb="FF7030A0"/>
      <name val="Calibri"/>
      <family val="2"/>
    </font>
    <font>
      <sz val="10"/>
      <name val="Arial"/>
      <family val="2"/>
    </font>
    <font>
      <sz val="8"/>
      <color indexed="0"/>
      <name val="Arial"/>
      <family val="2"/>
    </font>
    <font>
      <b/>
      <sz val="8"/>
      <color indexed="0"/>
      <name val="Arial"/>
      <family val="2"/>
    </font>
    <font>
      <sz val="8"/>
      <color rgb="FF7030A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B767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/>
      <diagonal/>
    </border>
    <border>
      <left style="thin">
        <color indexed="64"/>
      </left>
      <right style="hair">
        <color rgb="FFC4BD97"/>
      </right>
      <top style="thin">
        <color indexed="64"/>
      </top>
      <bottom style="hair">
        <color rgb="FFC4BD97"/>
      </bottom>
      <diagonal/>
    </border>
    <border>
      <left style="hair">
        <color rgb="FFC4BD97"/>
      </left>
      <right style="hair">
        <color rgb="FFC4BD97"/>
      </right>
      <top style="thin">
        <color indexed="64"/>
      </top>
      <bottom style="hair">
        <color rgb="FFC4BD97"/>
      </bottom>
      <diagonal/>
    </border>
    <border>
      <left style="hair">
        <color rgb="FFC4BD97"/>
      </left>
      <right style="thin">
        <color indexed="64"/>
      </right>
      <top style="thin">
        <color indexed="64"/>
      </top>
      <bottom style="hair">
        <color rgb="FFC4BD97"/>
      </bottom>
      <diagonal/>
    </border>
    <border>
      <left style="thin">
        <color indexed="64"/>
      </left>
      <right style="hair">
        <color rgb="FFC4BD97"/>
      </right>
      <top style="hair">
        <color rgb="FFC4BD97"/>
      </top>
      <bottom style="hair">
        <color rgb="FFC4BD97"/>
      </bottom>
      <diagonal/>
    </border>
    <border>
      <left style="hair">
        <color rgb="FFC4BD97"/>
      </left>
      <right style="hair">
        <color rgb="FFC4BD97"/>
      </right>
      <top style="hair">
        <color rgb="FFC4BD97"/>
      </top>
      <bottom style="hair">
        <color rgb="FFC4BD97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C4BD97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rgb="FFC4BD97"/>
      </left>
      <right style="dotted">
        <color indexed="64"/>
      </right>
      <top style="thin">
        <color indexed="64"/>
      </top>
      <bottom style="hair">
        <color rgb="FFC4BD97"/>
      </bottom>
      <diagonal/>
    </border>
    <border>
      <left style="hair">
        <color rgb="FFC4BD97"/>
      </left>
      <right style="dotted">
        <color indexed="64"/>
      </right>
      <top style="hair">
        <color rgb="FFC4BD97"/>
      </top>
      <bottom style="hair">
        <color rgb="FFC4BD97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6" fillId="0" borderId="2"/>
  </cellStyleXfs>
  <cellXfs count="10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4" fontId="0" fillId="0" borderId="0" xfId="1" applyFont="1"/>
    <xf numFmtId="0" fontId="0" fillId="0" borderId="2" xfId="0" applyBorder="1"/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center" wrapText="1"/>
    </xf>
    <xf numFmtId="17" fontId="0" fillId="0" borderId="0" xfId="0" applyNumberFormat="1"/>
    <xf numFmtId="164" fontId="0" fillId="0" borderId="0" xfId="0" applyNumberFormat="1"/>
    <xf numFmtId="0" fontId="4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7" fontId="0" fillId="0" borderId="0" xfId="0" applyNumberFormat="1" applyAlignment="1">
      <alignment wrapText="1"/>
    </xf>
    <xf numFmtId="0" fontId="9" fillId="6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4" fillId="3" borderId="1" xfId="0" applyFont="1" applyFill="1" applyBorder="1" applyAlignment="1">
      <alignment horizontal="center" wrapText="1"/>
    </xf>
    <xf numFmtId="44" fontId="4" fillId="3" borderId="0" xfId="0" applyNumberFormat="1" applyFont="1" applyFill="1" applyAlignment="1">
      <alignment horizontal="center" wrapText="1"/>
    </xf>
    <xf numFmtId="9" fontId="0" fillId="0" borderId="0" xfId="0" applyNumberFormat="1"/>
    <xf numFmtId="0" fontId="9" fillId="0" borderId="0" xfId="0" applyFont="1" applyAlignment="1">
      <alignment horizontal="center" wrapText="1"/>
    </xf>
    <xf numFmtId="0" fontId="12" fillId="0" borderId="0" xfId="0" applyFont="1" applyAlignment="1">
      <alignment vertical="top"/>
    </xf>
    <xf numFmtId="0" fontId="13" fillId="0" borderId="0" xfId="0" applyFont="1"/>
    <xf numFmtId="0" fontId="14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/>
    </xf>
    <xf numFmtId="3" fontId="16" fillId="11" borderId="7" xfId="0" applyNumberFormat="1" applyFont="1" applyFill="1" applyBorder="1"/>
    <xf numFmtId="3" fontId="15" fillId="11" borderId="7" xfId="0" applyNumberFormat="1" applyFont="1" applyFill="1" applyBorder="1"/>
    <xf numFmtId="0" fontId="16" fillId="12" borderId="6" xfId="0" applyFont="1" applyFill="1" applyBorder="1"/>
    <xf numFmtId="3" fontId="16" fillId="0" borderId="7" xfId="0" applyNumberFormat="1" applyFont="1" applyBorder="1"/>
    <xf numFmtId="3" fontId="15" fillId="0" borderId="7" xfId="0" applyNumberFormat="1" applyFont="1" applyBorder="1"/>
    <xf numFmtId="0" fontId="17" fillId="13" borderId="11" xfId="0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" fontId="0" fillId="0" borderId="13" xfId="0" applyNumberForma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0" fontId="19" fillId="14" borderId="13" xfId="0" applyFont="1" applyFill="1" applyBorder="1" applyAlignment="1">
      <alignment horizontal="center" vertical="center" wrapText="1"/>
    </xf>
    <xf numFmtId="0" fontId="19" fillId="14" borderId="14" xfId="0" applyFont="1" applyFill="1" applyBorder="1" applyAlignment="1">
      <alignment horizontal="center" vertical="center" wrapText="1"/>
    </xf>
    <xf numFmtId="0" fontId="19" fillId="15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14" fillId="9" borderId="2" xfId="0" applyFont="1" applyFill="1" applyBorder="1" applyAlignment="1">
      <alignment horizontal="center" vertical="center"/>
    </xf>
    <xf numFmtId="3" fontId="16" fillId="11" borderId="16" xfId="0" applyNumberFormat="1" applyFont="1" applyFill="1" applyBorder="1"/>
    <xf numFmtId="3" fontId="16" fillId="0" borderId="16" xfId="0" applyNumberFormat="1" applyFont="1" applyBorder="1"/>
    <xf numFmtId="3" fontId="16" fillId="0" borderId="2" xfId="0" applyNumberFormat="1" applyFont="1" applyBorder="1"/>
    <xf numFmtId="0" fontId="11" fillId="0" borderId="0" xfId="0" applyFont="1" applyAlignment="1">
      <alignment wrapText="1"/>
    </xf>
    <xf numFmtId="3" fontId="0" fillId="0" borderId="0" xfId="0" applyNumberFormat="1"/>
    <xf numFmtId="4" fontId="0" fillId="0" borderId="0" xfId="0" applyNumberFormat="1"/>
    <xf numFmtId="0" fontId="0" fillId="0" borderId="17" xfId="0" applyBorder="1"/>
    <xf numFmtId="0" fontId="11" fillId="16" borderId="18" xfId="0" applyFont="1" applyFill="1" applyBorder="1" applyAlignment="1">
      <alignment horizontal="center" vertical="center" wrapText="1"/>
    </xf>
    <xf numFmtId="0" fontId="11" fillId="17" borderId="18" xfId="0" applyFont="1" applyFill="1" applyBorder="1" applyAlignment="1">
      <alignment horizontal="center" vertical="center" wrapText="1"/>
    </xf>
    <xf numFmtId="0" fontId="11" fillId="17" borderId="20" xfId="0" applyFont="1" applyFill="1" applyBorder="1" applyAlignment="1">
      <alignment horizontal="center" vertical="center" wrapText="1"/>
    </xf>
    <xf numFmtId="0" fontId="0" fillId="0" borderId="22" xfId="0" applyBorder="1"/>
    <xf numFmtId="0" fontId="11" fillId="0" borderId="19" xfId="0" applyFont="1" applyBorder="1" applyAlignment="1">
      <alignment vertical="center" wrapText="1"/>
    </xf>
    <xf numFmtId="0" fontId="18" fillId="0" borderId="19" xfId="0" applyFont="1" applyBorder="1" applyAlignment="1">
      <alignment horizontal="left" vertical="center"/>
    </xf>
    <xf numFmtId="0" fontId="11" fillId="16" borderId="20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left" vertical="center"/>
    </xf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21" fillId="17" borderId="21" xfId="0" applyFont="1" applyFill="1" applyBorder="1" applyAlignment="1">
      <alignment horizontal="center" vertical="center" wrapText="1"/>
    </xf>
    <xf numFmtId="0" fontId="21" fillId="0" borderId="23" xfId="0" applyFont="1" applyBorder="1"/>
    <xf numFmtId="0" fontId="21" fillId="16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3" fontId="16" fillId="11" borderId="2" xfId="0" applyNumberFormat="1" applyFont="1" applyFill="1" applyBorder="1"/>
    <xf numFmtId="0" fontId="14" fillId="9" borderId="27" xfId="0" applyFont="1" applyFill="1" applyBorder="1" applyAlignment="1">
      <alignment horizontal="center" vertical="center"/>
    </xf>
    <xf numFmtId="3" fontId="16" fillId="11" borderId="28" xfId="0" applyNumberFormat="1" applyFont="1" applyFill="1" applyBorder="1"/>
    <xf numFmtId="3" fontId="16" fillId="0" borderId="28" xfId="0" applyNumberFormat="1" applyFont="1" applyBorder="1"/>
    <xf numFmtId="9" fontId="9" fillId="6" borderId="0" xfId="0" applyNumberFormat="1" applyFont="1" applyFill="1" applyAlignment="1">
      <alignment horizontal="center" wrapText="1"/>
    </xf>
    <xf numFmtId="44" fontId="11" fillId="0" borderId="2" xfId="1" applyFont="1" applyBorder="1"/>
    <xf numFmtId="0" fontId="22" fillId="4" borderId="0" xfId="0" applyFont="1" applyFill="1" applyAlignment="1">
      <alignment horizontal="center" wrapText="1"/>
    </xf>
    <xf numFmtId="0" fontId="25" fillId="0" borderId="1" xfId="0" applyFont="1" applyBorder="1"/>
    <xf numFmtId="14" fontId="25" fillId="0" borderId="1" xfId="0" applyNumberFormat="1" applyFont="1" applyBorder="1"/>
    <xf numFmtId="164" fontId="25" fillId="0" borderId="0" xfId="0" applyNumberFormat="1" applyFont="1"/>
    <xf numFmtId="9" fontId="25" fillId="0" borderId="0" xfId="0" applyNumberFormat="1" applyFont="1"/>
    <xf numFmtId="14" fontId="11" fillId="0" borderId="1" xfId="0" applyNumberFormat="1" applyFont="1" applyBorder="1"/>
    <xf numFmtId="0" fontId="11" fillId="0" borderId="1" xfId="0" applyFont="1" applyBorder="1"/>
    <xf numFmtId="0" fontId="27" fillId="0" borderId="29" xfId="2" applyFont="1" applyBorder="1" applyAlignment="1" applyProtection="1">
      <alignment horizontal="center" vertical="center"/>
      <protection locked="0"/>
    </xf>
    <xf numFmtId="0" fontId="28" fillId="18" borderId="13" xfId="2" applyFont="1" applyFill="1" applyBorder="1" applyAlignment="1" applyProtection="1">
      <alignment horizontal="center" vertical="center" wrapText="1"/>
      <protection locked="0"/>
    </xf>
    <xf numFmtId="0" fontId="28" fillId="18" borderId="13" xfId="0" applyFont="1" applyFill="1" applyBorder="1" applyAlignment="1" applyProtection="1">
      <alignment horizontal="center" vertical="center" wrapText="1"/>
      <protection locked="0"/>
    </xf>
    <xf numFmtId="0" fontId="27" fillId="0" borderId="29" xfId="2" applyFont="1" applyBorder="1" applyAlignment="1" applyProtection="1">
      <alignment horizontal="left" vertical="center"/>
      <protection locked="0"/>
    </xf>
    <xf numFmtId="0" fontId="29" fillId="0" borderId="29" xfId="2" applyFont="1" applyBorder="1" applyAlignment="1" applyProtection="1">
      <alignment horizontal="center" vertical="center"/>
      <protection locked="0"/>
    </xf>
    <xf numFmtId="0" fontId="29" fillId="0" borderId="29" xfId="2" applyFont="1" applyBorder="1" applyAlignment="1" applyProtection="1">
      <alignment horizontal="left" vertical="center"/>
      <protection locked="0"/>
    </xf>
    <xf numFmtId="0" fontId="22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24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3">
    <cellStyle name="Moeda" xfId="1" xr:uid="{00000000-0005-0000-0000-000000000000}"/>
    <cellStyle name="Normal" xfId="0" builtinId="0"/>
    <cellStyle name="Normal 2" xfId="2" xr:uid="{5072CCAD-F211-4ED2-A6E2-5A6C558D8D90}"/>
  </cellStyles>
  <dxfs count="31"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>
        <left/>
        <right/>
        <top style="thin">
          <color theme="4"/>
        </top>
        <bottom/>
      </border>
    </dxf>
    <dxf>
      <numFmt numFmtId="34" formatCode="_-&quot;R$&quot;\ * #,##0.00_-;\-&quot;R$&quot;\ * #,##0.00_-;_-&quot;R$&quot;\ * &quot;-&quot;??_-;_-@_-"/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numFmt numFmtId="0" formatCode="General"/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  <dxf>
      <border>
        <left/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Equipes restantes</c:v>
          </c:tx>
          <c:marker>
            <c:symbol val="none"/>
          </c:marker>
          <c:cat>
            <c:numRef>
              <c:f>Painel!$A$18:$A$23</c:f>
              <c:numCache>
                <c:formatCode>mmm\-yy</c:formatCode>
                <c:ptCount val="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</c:numCache>
            </c:numRef>
          </c:cat>
          <c:val>
            <c:numRef>
              <c:f>Painel!$D$18:$D$23</c:f>
              <c:numCache>
                <c:formatCode>General</c:formatCode>
                <c:ptCount val="6"/>
                <c:pt idx="0">
                  <c:v>87</c:v>
                </c:pt>
                <c:pt idx="1">
                  <c:v>84</c:v>
                </c:pt>
                <c:pt idx="2">
                  <c:v>80</c:v>
                </c:pt>
                <c:pt idx="3">
                  <c:v>72</c:v>
                </c:pt>
                <c:pt idx="4">
                  <c:v>61</c:v>
                </c:pt>
                <c:pt idx="5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AA-48E5-AA58-CEC620926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41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USU&#193;RIO1/Downloads/Veiculos_CONTROL_26_08_2026_15h33.xls" TargetMode="External"/><Relationship Id="rId2" Type="http://schemas.openxmlformats.org/officeDocument/2006/relationships/externalLinkPath" Target="file:///C:\Users\USU&#193;RIO1\Downloads\Veiculos_CONTROL_26_08_2026_15h33.xls" TargetMode="External"/><Relationship Id="rId1" Type="http://schemas.openxmlformats.org/officeDocument/2006/relationships/externalLinkPath" Target="/Users/USU&#193;RIO1/Downloads/Veiculos_CONTROL_26_08_2026_15h3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dos"/>
    </sheetNames>
    <sheetDataSet>
      <sheetData sheetId="0">
        <row r="13">
          <cell r="C13" t="str">
            <v>QTP9757</v>
          </cell>
          <cell r="DQ13" t="str">
            <v>CANINDÉ-CE</v>
          </cell>
        </row>
        <row r="14">
          <cell r="C14" t="str">
            <v>QTP9837</v>
          </cell>
          <cell r="DQ14" t="str">
            <v>CANINDÉ-CE</v>
          </cell>
        </row>
        <row r="15">
          <cell r="C15" t="str">
            <v>QSL5J07</v>
          </cell>
          <cell r="DQ15" t="str">
            <v>CANINDÉ-CE</v>
          </cell>
        </row>
        <row r="16">
          <cell r="C16" t="str">
            <v>TJN7H18</v>
          </cell>
          <cell r="DQ16" t="str">
            <v>NOVA RUSSAS-CE</v>
          </cell>
        </row>
        <row r="17">
          <cell r="C17" t="str">
            <v>TLM2C64</v>
          </cell>
          <cell r="DQ17" t="str">
            <v>IPU-CE</v>
          </cell>
        </row>
        <row r="18">
          <cell r="C18" t="str">
            <v>TJT9F43</v>
          </cell>
          <cell r="DQ18" t="str">
            <v>QUIXADÁ-CE</v>
          </cell>
        </row>
        <row r="19">
          <cell r="C19" t="str">
            <v>TKH4C80</v>
          </cell>
          <cell r="DQ19" t="str">
            <v>CANINDÉ-CE</v>
          </cell>
        </row>
        <row r="20">
          <cell r="C20" t="str">
            <v>TDU6B27</v>
          </cell>
          <cell r="DQ20" t="str">
            <v>QUIXADÁ-CE</v>
          </cell>
        </row>
        <row r="21">
          <cell r="C21" t="str">
            <v>TDU6B28</v>
          </cell>
          <cell r="DQ21" t="str">
            <v>CANINDÉ-CE</v>
          </cell>
        </row>
        <row r="22">
          <cell r="C22" t="str">
            <v>TDU6B30</v>
          </cell>
          <cell r="DQ22" t="str">
            <v>IPU-CE</v>
          </cell>
        </row>
        <row r="23">
          <cell r="C23" t="str">
            <v>TDU6A98</v>
          </cell>
          <cell r="DQ23" t="str">
            <v>CANINDÉ-CE</v>
          </cell>
        </row>
        <row r="24">
          <cell r="C24" t="str">
            <v>TDU6A99</v>
          </cell>
          <cell r="DQ24" t="str">
            <v>NOVA RUSSAS-CE</v>
          </cell>
        </row>
        <row r="25">
          <cell r="C25" t="str">
            <v>TDU6B00</v>
          </cell>
          <cell r="DQ25" t="str">
            <v>NOVA RUSSAS-CE</v>
          </cell>
        </row>
        <row r="26">
          <cell r="C26" t="str">
            <v>TDU6B09</v>
          </cell>
          <cell r="DQ26" t="str">
            <v>CANINDÉ-CE</v>
          </cell>
        </row>
        <row r="27">
          <cell r="C27" t="str">
            <v>TDU6B41</v>
          </cell>
          <cell r="DQ27" t="str">
            <v>MADALENA-CE</v>
          </cell>
        </row>
        <row r="28">
          <cell r="C28" t="str">
            <v>TDU6A93</v>
          </cell>
          <cell r="DQ28" t="str">
            <v>CANINDÉ-CE</v>
          </cell>
        </row>
        <row r="29">
          <cell r="C29" t="str">
            <v>TDU6B26</v>
          </cell>
          <cell r="DQ29" t="str">
            <v>NOVA RUSSAS-CE</v>
          </cell>
        </row>
        <row r="30">
          <cell r="C30" t="str">
            <v>TDU6B01</v>
          </cell>
          <cell r="DQ30" t="str">
            <v>CRATEÚS-CE</v>
          </cell>
        </row>
        <row r="31">
          <cell r="C31" t="str">
            <v>TDU6A92</v>
          </cell>
          <cell r="DQ31" t="str">
            <v>QUIXADÁ-CE</v>
          </cell>
        </row>
        <row r="32">
          <cell r="C32" t="str">
            <v>TDU6B02</v>
          </cell>
          <cell r="DQ32" t="str">
            <v>NOVA RUSSAS-CE</v>
          </cell>
        </row>
        <row r="33">
          <cell r="C33" t="str">
            <v>TDU6B04</v>
          </cell>
          <cell r="DQ33" t="str">
            <v>NOVA RUSSAS-CE</v>
          </cell>
        </row>
        <row r="34">
          <cell r="C34" t="str">
            <v>TDU6B06</v>
          </cell>
          <cell r="DQ34" t="str">
            <v>CRATEÚS-CE</v>
          </cell>
        </row>
        <row r="35">
          <cell r="C35" t="str">
            <v>TDU6B36</v>
          </cell>
          <cell r="DQ35" t="str">
            <v>QUIXADÁ-CE</v>
          </cell>
        </row>
        <row r="36">
          <cell r="C36" t="str">
            <v>TDU6B38</v>
          </cell>
          <cell r="DQ36" t="str">
            <v>QUIXADÁ-CE</v>
          </cell>
        </row>
        <row r="37">
          <cell r="C37" t="str">
            <v>TDU6B12</v>
          </cell>
          <cell r="DQ37" t="str">
            <v>QUIXADÁ-CE</v>
          </cell>
        </row>
        <row r="38">
          <cell r="C38" t="str">
            <v>TDU6B07</v>
          </cell>
          <cell r="DQ38" t="str">
            <v>IPU-CE</v>
          </cell>
        </row>
        <row r="39">
          <cell r="C39" t="str">
            <v>TDU6B25</v>
          </cell>
          <cell r="DQ39" t="str">
            <v>CRATEÚS-CE</v>
          </cell>
        </row>
        <row r="40">
          <cell r="C40" t="str">
            <v>TDU6A96</v>
          </cell>
          <cell r="DQ40" t="str">
            <v>QUIXADÁ-CE</v>
          </cell>
        </row>
        <row r="41">
          <cell r="C41" t="str">
            <v>TDU6A97</v>
          </cell>
          <cell r="DQ41" t="str">
            <v>CANINDÉ-CE</v>
          </cell>
        </row>
        <row r="42">
          <cell r="C42" t="str">
            <v>TDU6B29</v>
          </cell>
          <cell r="DQ42" t="str">
            <v>CANINDÉ-CE</v>
          </cell>
        </row>
        <row r="43">
          <cell r="C43" t="str">
            <v>TDU6B32</v>
          </cell>
          <cell r="DQ43" t="str">
            <v>CANINDÉ-CE</v>
          </cell>
        </row>
        <row r="44">
          <cell r="C44" t="str">
            <v>TDU6B03</v>
          </cell>
          <cell r="DQ44" t="str">
            <v>NOVA RUSSAS-CE</v>
          </cell>
        </row>
        <row r="45">
          <cell r="C45" t="str">
            <v>TDU6B34</v>
          </cell>
          <cell r="DQ45" t="str">
            <v>CRATEÚS-CE</v>
          </cell>
        </row>
        <row r="46">
          <cell r="C46" t="str">
            <v>TDU6B40</v>
          </cell>
          <cell r="DQ46" t="str">
            <v>QUIXADÁ-CE</v>
          </cell>
        </row>
        <row r="47">
          <cell r="C47" t="str">
            <v>TDU6B10</v>
          </cell>
          <cell r="DQ47" t="str">
            <v>QUIXERAMOBIM-CE</v>
          </cell>
        </row>
        <row r="48">
          <cell r="C48" t="str">
            <v>TDU6B11</v>
          </cell>
          <cell r="DQ48" t="str">
            <v>CANINDÉ-CE</v>
          </cell>
        </row>
        <row r="49">
          <cell r="C49" t="str">
            <v>TDU6B15</v>
          </cell>
          <cell r="DQ49" t="str">
            <v>CARIDADE-CE</v>
          </cell>
        </row>
        <row r="50">
          <cell r="C50" t="str">
            <v>TDU6B16</v>
          </cell>
          <cell r="DQ50" t="str">
            <v>QUIXADÁ-CE</v>
          </cell>
        </row>
        <row r="51">
          <cell r="C51" t="str">
            <v>TDU6A95</v>
          </cell>
          <cell r="DQ51" t="str">
            <v>CRATEÚS-CE</v>
          </cell>
        </row>
        <row r="52">
          <cell r="C52" t="str">
            <v>TDU6B31</v>
          </cell>
          <cell r="DQ52" t="str">
            <v>VARJOTA-CE</v>
          </cell>
        </row>
        <row r="53">
          <cell r="C53" t="str">
            <v>TDU6B33</v>
          </cell>
          <cell r="DQ53" t="str">
            <v>CANINDÉ-CE</v>
          </cell>
        </row>
        <row r="54">
          <cell r="C54" t="str">
            <v>TDU6B35</v>
          </cell>
          <cell r="DQ54" t="str">
            <v>NOVA RUSSAS-CE</v>
          </cell>
        </row>
        <row r="55">
          <cell r="C55" t="str">
            <v>TDU6B05</v>
          </cell>
          <cell r="DQ55" t="str">
            <v>CRATEÚS-CE</v>
          </cell>
        </row>
        <row r="56">
          <cell r="C56" t="str">
            <v>TDU6B37</v>
          </cell>
          <cell r="DQ56" t="str">
            <v>CANINDÉ-CE</v>
          </cell>
        </row>
        <row r="57">
          <cell r="C57" t="str">
            <v>TDU6B08</v>
          </cell>
          <cell r="DQ57" t="str">
            <v>CRATEÚS-CE</v>
          </cell>
        </row>
        <row r="58">
          <cell r="C58" t="str">
            <v>TDU6B39</v>
          </cell>
          <cell r="DQ58" t="str">
            <v>NOVA RUSSAS-CE</v>
          </cell>
        </row>
        <row r="59">
          <cell r="C59" t="str">
            <v>TDU6B13</v>
          </cell>
          <cell r="DQ59" t="str">
            <v>CRATEÚS-CE</v>
          </cell>
        </row>
        <row r="60">
          <cell r="C60" t="str">
            <v>TDU6B14</v>
          </cell>
          <cell r="DQ60" t="str">
            <v>QUIXADÁ-CE</v>
          </cell>
        </row>
        <row r="61">
          <cell r="C61" t="str">
            <v>TDU6A94</v>
          </cell>
          <cell r="DQ61" t="str">
            <v>CANINDÉ-CE</v>
          </cell>
        </row>
        <row r="62">
          <cell r="C62" t="str">
            <v>TOW6C53</v>
          </cell>
          <cell r="DQ62" t="str">
            <v>NOVA RUSSAS-CE</v>
          </cell>
        </row>
        <row r="63">
          <cell r="C63" t="str">
            <v>TOX1G03</v>
          </cell>
          <cell r="DQ63" t="str">
            <v>QUIXADÁ-CE</v>
          </cell>
        </row>
        <row r="64">
          <cell r="C64" t="str">
            <v>TOX1H13</v>
          </cell>
          <cell r="DQ64" t="str">
            <v>CRATEÚS-CE</v>
          </cell>
        </row>
        <row r="65">
          <cell r="C65" t="str">
            <v>TOX1F83</v>
          </cell>
          <cell r="DQ65" t="str">
            <v>CRATEÚS-CE</v>
          </cell>
        </row>
        <row r="66">
          <cell r="C66" t="str">
            <v>TOX1G23</v>
          </cell>
          <cell r="DQ66" t="str">
            <v>CANINDÉ-CE</v>
          </cell>
        </row>
        <row r="67">
          <cell r="C67" t="str">
            <v>TOX1G63</v>
          </cell>
          <cell r="DQ67" t="str">
            <v>QUIXADÁ-CE</v>
          </cell>
        </row>
        <row r="68">
          <cell r="C68" t="str">
            <v>TOX1G83</v>
          </cell>
          <cell r="DQ68" t="str">
            <v>CRATEÚS-CE</v>
          </cell>
        </row>
        <row r="69">
          <cell r="C69" t="str">
            <v>TOX1G93</v>
          </cell>
          <cell r="DQ69" t="str">
            <v>NOVA RUSSAS-CE</v>
          </cell>
        </row>
        <row r="70">
          <cell r="C70" t="str">
            <v>TOX1G43</v>
          </cell>
          <cell r="DQ70" t="str">
            <v>CANINDÉ-CE</v>
          </cell>
        </row>
        <row r="71">
          <cell r="C71" t="str">
            <v>TDU6C02</v>
          </cell>
          <cell r="DQ71" t="str">
            <v>CANINDÉ-CE</v>
          </cell>
        </row>
        <row r="72">
          <cell r="C72" t="str">
            <v>TDU6C01</v>
          </cell>
          <cell r="DQ72" t="str">
            <v>CANINDÉ-CE</v>
          </cell>
        </row>
        <row r="73">
          <cell r="C73" t="str">
            <v>TDU6C03</v>
          </cell>
          <cell r="DQ73" t="str">
            <v>QUIXADÁ-CE</v>
          </cell>
        </row>
        <row r="74">
          <cell r="C74" t="str">
            <v>TEB4B37</v>
          </cell>
          <cell r="DQ74" t="str">
            <v>QUIXADÁ-CE</v>
          </cell>
        </row>
        <row r="75">
          <cell r="C75" t="str">
            <v>TDU6C11</v>
          </cell>
          <cell r="DQ75" t="str">
            <v>NOVA RUSSAS-CE</v>
          </cell>
        </row>
        <row r="76">
          <cell r="C76" t="str">
            <v>TLB8C94</v>
          </cell>
          <cell r="DQ76" t="str">
            <v>QUIXADÁ-CE</v>
          </cell>
        </row>
        <row r="77">
          <cell r="C77" t="str">
            <v>TJB4F14</v>
          </cell>
          <cell r="DQ77" t="str">
            <v>QUIXADÁ-CE</v>
          </cell>
        </row>
        <row r="78">
          <cell r="C78" t="str">
            <v>TKK6E03</v>
          </cell>
          <cell r="DQ78" t="str">
            <v>CRATEÚS-CE</v>
          </cell>
        </row>
        <row r="79">
          <cell r="C79" t="str">
            <v>TJN5B95</v>
          </cell>
          <cell r="DQ79" t="str">
            <v>CRATEÚS-CE</v>
          </cell>
        </row>
        <row r="80">
          <cell r="C80" t="str">
            <v>TIZ7G43</v>
          </cell>
          <cell r="DQ80" t="str">
            <v>MONSENHOR TABOSA-CE</v>
          </cell>
        </row>
        <row r="81">
          <cell r="C81" t="str">
            <v>TJD6E41</v>
          </cell>
          <cell r="DQ81" t="str">
            <v>MADALENA-CE</v>
          </cell>
        </row>
        <row r="82">
          <cell r="C82" t="str">
            <v>TJK3A62</v>
          </cell>
          <cell r="DQ82" t="str">
            <v>CRATEÚS-CE</v>
          </cell>
        </row>
        <row r="83">
          <cell r="C83" t="str">
            <v>TMA7A32</v>
          </cell>
          <cell r="DQ83" t="str">
            <v>NOVA RUSSAS-CE</v>
          </cell>
        </row>
        <row r="84">
          <cell r="C84" t="str">
            <v>TJD1C62</v>
          </cell>
          <cell r="DQ84" t="str">
            <v>VARJOTA-CE</v>
          </cell>
        </row>
        <row r="85">
          <cell r="C85" t="str">
            <v>TKQ8A66</v>
          </cell>
          <cell r="DQ85" t="str">
            <v>QUIXADÁ-CE</v>
          </cell>
        </row>
        <row r="86">
          <cell r="C86" t="str">
            <v>TJW2J71</v>
          </cell>
          <cell r="DQ86" t="str">
            <v>SANTA QUITÉRIA-CE</v>
          </cell>
        </row>
        <row r="87">
          <cell r="C87" t="str">
            <v>TKE1C48</v>
          </cell>
          <cell r="DQ87" t="str">
            <v>CARIDADE-CE</v>
          </cell>
        </row>
        <row r="88">
          <cell r="C88" t="str">
            <v>TMA5I47</v>
          </cell>
          <cell r="DQ88" t="str">
            <v>QUIXADÁ-CE</v>
          </cell>
        </row>
        <row r="89">
          <cell r="C89" t="str">
            <v>TJF4F81</v>
          </cell>
          <cell r="DQ89" t="str">
            <v>CRATEÚS-CE</v>
          </cell>
        </row>
        <row r="90">
          <cell r="C90" t="str">
            <v>TKH0I57</v>
          </cell>
          <cell r="DQ90" t="str">
            <v>CRATEÚS-CE</v>
          </cell>
        </row>
        <row r="91">
          <cell r="C91" t="str">
            <v>TKN2G17</v>
          </cell>
          <cell r="DQ91" t="str">
            <v>NOVA RUSSAS-CE</v>
          </cell>
        </row>
        <row r="92">
          <cell r="C92" t="str">
            <v>TKO7B34</v>
          </cell>
          <cell r="DQ92" t="str">
            <v>QUIXADÁ-CE</v>
          </cell>
        </row>
        <row r="93">
          <cell r="C93" t="str">
            <v>TLP8E36</v>
          </cell>
          <cell r="DQ93" t="str">
            <v>SANTA QUITÉRIA-CE</v>
          </cell>
        </row>
        <row r="94">
          <cell r="C94" t="str">
            <v>TLN2E48</v>
          </cell>
          <cell r="DQ94" t="str">
            <v>CANINDÉ-CE</v>
          </cell>
        </row>
        <row r="95">
          <cell r="C95" t="str">
            <v>TJS4F46</v>
          </cell>
          <cell r="DQ95" t="str">
            <v>SANTA QUITÉRIA-CE</v>
          </cell>
        </row>
        <row r="96">
          <cell r="C96" t="str">
            <v>TKE1J44</v>
          </cell>
          <cell r="DQ96" t="str">
            <v>CANINDÉ-CE</v>
          </cell>
        </row>
        <row r="97">
          <cell r="C97" t="str">
            <v>TKU9B25</v>
          </cell>
          <cell r="DQ97" t="str">
            <v>CANINDÉ-CE</v>
          </cell>
        </row>
        <row r="98">
          <cell r="C98" t="str">
            <v>TKX2B12</v>
          </cell>
          <cell r="DQ98" t="str">
            <v>CANINDÉ-CE</v>
          </cell>
        </row>
        <row r="99">
          <cell r="C99" t="str">
            <v>TJK6G43</v>
          </cell>
          <cell r="DQ99" t="str">
            <v>CANINDÉ-CE</v>
          </cell>
        </row>
        <row r="100">
          <cell r="C100" t="str">
            <v>TKZ7A05</v>
          </cell>
          <cell r="DQ100" t="str">
            <v>CANINDÉ-CE</v>
          </cell>
        </row>
        <row r="101">
          <cell r="C101" t="str">
            <v>TJF6I34</v>
          </cell>
          <cell r="DQ101" t="str">
            <v>CANINDÉ-CE</v>
          </cell>
        </row>
        <row r="102">
          <cell r="C102" t="str">
            <v>TJP3C85</v>
          </cell>
          <cell r="DQ102" t="str">
            <v>CANINDÉ-CE</v>
          </cell>
        </row>
        <row r="103">
          <cell r="C103" t="str">
            <v>TKR1A52</v>
          </cell>
          <cell r="DQ103" t="str">
            <v>QUIXERAMOBIM-CE</v>
          </cell>
        </row>
        <row r="104">
          <cell r="C104" t="str">
            <v>TKV8C75</v>
          </cell>
          <cell r="DQ104" t="str">
            <v>QUIXADÁ-CE</v>
          </cell>
        </row>
        <row r="105">
          <cell r="C105" t="str">
            <v>TJF6I57</v>
          </cell>
          <cell r="DQ105" t="str">
            <v>CANINDÉ-CE</v>
          </cell>
        </row>
        <row r="106">
          <cell r="C106" t="str">
            <v>TJT6J51</v>
          </cell>
          <cell r="DQ106" t="str">
            <v>CANINDÉ-CE</v>
          </cell>
        </row>
        <row r="107">
          <cell r="C107" t="str">
            <v>TLB5J94</v>
          </cell>
          <cell r="DQ107" t="str">
            <v>CRATEÚS-CE</v>
          </cell>
        </row>
        <row r="108">
          <cell r="C108" t="str">
            <v>ELT7J82</v>
          </cell>
          <cell r="DQ108" t="str">
            <v>CANINDÉ-CE</v>
          </cell>
        </row>
        <row r="109">
          <cell r="C109" t="str">
            <v>TES4E19</v>
          </cell>
          <cell r="DQ109" t="str">
            <v>CANINDÉ-CE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N89" totalsRowShown="0">
  <autoFilter ref="A1:N89" xr:uid="{00000000-000C-0000-FFFF-FFFF00000000}">
    <filterColumn colId="7">
      <filters>
        <dateGroupItem year="2026" dateTimeGrouping="year"/>
      </filters>
    </filterColumn>
  </autoFilter>
  <tableColumns count="14">
    <tableColumn id="1" xr3:uid="{00000000-0010-0000-0000-000001000000}" name="Equipes" dataDxfId="30"/>
    <tableColumn id="2" xr3:uid="{00000000-0010-0000-0000-000002000000}" name="Estrutura" dataDxfId="29"/>
    <tableColumn id="4" xr3:uid="{00000000-0010-0000-0000-000004000000}" name="Subprocesso" dataDxfId="28"/>
    <tableColumn id="5" xr3:uid="{00000000-0010-0000-0000-000005000000}" name="Supervisor" dataDxfId="27"/>
    <tableColumn id="6" xr3:uid="{00000000-0010-0000-0000-000006000000}" name="Polo" dataDxfId="26"/>
    <tableColumn id="7" xr3:uid="{00000000-0010-0000-0000-000007000000}" name="Localidade" dataDxfId="25"/>
    <tableColumn id="8" xr3:uid="{00000000-0010-0000-0000-000008000000}" name="MOBILIZAÇÃO" dataDxfId="24"/>
    <tableColumn id="9" xr3:uid="{00000000-0010-0000-0000-000009000000}" name="DESMOBIZAÇÃO" dataDxfId="23"/>
    <tableColumn id="10" xr3:uid="{00000000-0010-0000-0000-00000A000000}" name="PLACA" dataDxfId="22"/>
    <tableColumn id="11" xr3:uid="{00000000-0010-0000-0000-00000B000000}" name="CARRO COMPARTILHADO" dataDxfId="21"/>
    <tableColumn id="12" xr3:uid="{00000000-0010-0000-0000-00000C000000}" name="Status Viatura" dataDxfId="20"/>
    <tableColumn id="13" xr3:uid="{00000000-0010-0000-0000-00000D000000}" name="Meta Hoje" dataDxfId="19"/>
    <tableColumn id="14" xr3:uid="{00000000-0010-0000-0000-00000E000000}" name="Meta pós Reajuste" dataDxfId="18">
      <calculatedColumnFormula>Tabela1[[#This Row],[Meta Hoje]]*Tabela1[[#This Row],[Reajuste]]</calculatedColumnFormula>
    </tableColumn>
    <tableColumn id="15" xr3:uid="{00000000-0010-0000-0000-00000F000000}" name="Reajuste" dataDxfId="17">
      <calculatedColumnFormula>_xlfn.XLOOKUP(Tabela1[[#This Row],[Subprocesso]],Ajuste!A:A,Ajuste!B:B,0)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topLeftCell="A4" workbookViewId="0">
      <selection activeCell="D11" sqref="D11:F13"/>
    </sheetView>
  </sheetViews>
  <sheetFormatPr defaultRowHeight="15" x14ac:dyDescent="0.25"/>
  <cols>
    <col min="1" max="1" width="13" customWidth="1"/>
    <col min="2" max="3" width="16" customWidth="1"/>
    <col min="4" max="4" width="18" customWidth="1"/>
    <col min="5" max="6" width="21" customWidth="1"/>
    <col min="7" max="7" width="18" customWidth="1"/>
    <col min="8" max="8" width="14" customWidth="1"/>
    <col min="9" max="9" width="14.42578125" bestFit="1" customWidth="1"/>
    <col min="10" max="11" width="22" customWidth="1"/>
    <col min="12" max="14" width="14" customWidth="1"/>
  </cols>
  <sheetData>
    <row r="1" spans="1:14" x14ac:dyDescent="0.25">
      <c r="A1" s="91" t="s">
        <v>273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4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</row>
    <row r="3" spans="1:14" x14ac:dyDescent="0.25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spans="1:1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25">
      <c r="A5" s="93" t="s">
        <v>390</v>
      </c>
      <c r="B5" s="94"/>
      <c r="C5" s="94"/>
      <c r="D5" s="94" t="s">
        <v>211</v>
      </c>
      <c r="E5" s="94"/>
      <c r="F5" s="94"/>
      <c r="G5" s="93" t="s">
        <v>331</v>
      </c>
      <c r="H5" s="94"/>
      <c r="I5" s="94"/>
      <c r="J5" s="94" t="s">
        <v>212</v>
      </c>
      <c r="K5" s="94"/>
      <c r="L5" s="94"/>
      <c r="M5" s="94"/>
      <c r="N5" s="94"/>
    </row>
    <row r="6" spans="1:14" x14ac:dyDescent="0.2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</row>
    <row r="7" spans="1:14" x14ac:dyDescent="0.2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</row>
    <row r="8" spans="1:14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25">
      <c r="A10" s="86" t="s">
        <v>213</v>
      </c>
      <c r="B10" s="86"/>
      <c r="C10" s="86"/>
      <c r="D10" s="86"/>
      <c r="E10" s="86"/>
      <c r="F10" s="86"/>
      <c r="G10" s="11"/>
      <c r="H10" s="86" t="s">
        <v>214</v>
      </c>
      <c r="I10" s="86"/>
      <c r="J10" s="86"/>
      <c r="K10" s="86"/>
      <c r="L10" s="86"/>
      <c r="M10" s="86"/>
      <c r="N10" s="86"/>
    </row>
    <row r="11" spans="1:14" x14ac:dyDescent="0.25">
      <c r="A11" s="87" t="s">
        <v>327</v>
      </c>
      <c r="B11" s="88"/>
      <c r="C11" s="88"/>
      <c r="D11" s="89" t="s">
        <v>326</v>
      </c>
      <c r="E11" s="90"/>
      <c r="F11" s="90"/>
      <c r="G11" s="11"/>
      <c r="H11" s="13" t="s">
        <v>215</v>
      </c>
      <c r="I11" s="70">
        <v>0.81</v>
      </c>
      <c r="J11" s="13"/>
      <c r="K11" s="13"/>
      <c r="L11" s="13" t="s">
        <v>216</v>
      </c>
      <c r="M11" s="70">
        <v>0.28999999999999998</v>
      </c>
      <c r="N11" s="13"/>
    </row>
    <row r="12" spans="1:14" x14ac:dyDescent="0.25">
      <c r="A12" s="88"/>
      <c r="B12" s="88"/>
      <c r="C12" s="88"/>
      <c r="D12" s="90"/>
      <c r="E12" s="90"/>
      <c r="F12" s="90"/>
      <c r="G12" s="11"/>
      <c r="H12" s="13" t="s">
        <v>217</v>
      </c>
      <c r="I12" s="70">
        <v>0.21</v>
      </c>
      <c r="J12" s="13"/>
      <c r="K12" s="13"/>
      <c r="L12" s="13" t="s">
        <v>218</v>
      </c>
      <c r="M12" s="70">
        <v>0.28000000000000003</v>
      </c>
      <c r="N12" s="13"/>
    </row>
    <row r="13" spans="1:14" x14ac:dyDescent="0.25">
      <c r="A13" s="88"/>
      <c r="B13" s="88"/>
      <c r="C13" s="88"/>
      <c r="D13" s="90"/>
      <c r="E13" s="90"/>
      <c r="F13" s="90"/>
      <c r="G13" s="11"/>
      <c r="H13" s="18"/>
      <c r="I13" s="18"/>
      <c r="J13" s="18"/>
      <c r="K13" s="18"/>
      <c r="L13" s="18"/>
      <c r="M13" s="18"/>
      <c r="N13" s="18"/>
    </row>
    <row r="14" spans="1:14" x14ac:dyDescent="0.25">
      <c r="A14" s="11"/>
      <c r="B14" s="11"/>
      <c r="C14" s="11"/>
      <c r="D14" s="11"/>
      <c r="E14" s="11"/>
      <c r="F14" s="11"/>
      <c r="G14" s="11"/>
      <c r="H14" s="18"/>
      <c r="I14" s="18"/>
      <c r="J14" s="18"/>
      <c r="K14" s="18"/>
      <c r="L14" s="18"/>
      <c r="M14" s="18"/>
      <c r="N14" s="18"/>
    </row>
    <row r="15" spans="1:14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30" x14ac:dyDescent="0.25">
      <c r="A17" s="7" t="s">
        <v>219</v>
      </c>
      <c r="B17" s="7" t="s">
        <v>220</v>
      </c>
      <c r="C17" s="7" t="s">
        <v>221</v>
      </c>
      <c r="D17" s="7" t="s">
        <v>222</v>
      </c>
      <c r="E17" s="7" t="s">
        <v>223</v>
      </c>
      <c r="F17" s="64"/>
      <c r="G17" s="64"/>
      <c r="H17" s="6" t="s">
        <v>219</v>
      </c>
      <c r="I17" s="6" t="s">
        <v>224</v>
      </c>
      <c r="J17" s="6" t="s">
        <v>225</v>
      </c>
      <c r="L17" s="65"/>
      <c r="M17" s="65"/>
      <c r="N17" s="65"/>
    </row>
    <row r="18" spans="1:14" x14ac:dyDescent="0.25">
      <c r="A18" s="12">
        <f>'Resumo Mensal'!A4</f>
        <v>46204</v>
      </c>
      <c r="B18" s="11">
        <f>'Resumo Mensal'!B4</f>
        <v>1</v>
      </c>
      <c r="C18" s="11">
        <f>'Resumo Mensal'!C4</f>
        <v>1</v>
      </c>
      <c r="D18" s="11">
        <f>'Resumo Mensal'!D4</f>
        <v>87</v>
      </c>
      <c r="E18" s="14">
        <f>'Resumo Mensal'!E4</f>
        <v>75054.508245109726</v>
      </c>
      <c r="F18" s="14"/>
      <c r="G18" s="14"/>
      <c r="H18" s="12">
        <f>'Resumo Mensal'!A4</f>
        <v>46204</v>
      </c>
      <c r="I18" s="14">
        <f>'Resumo Mensal'!G4</f>
        <v>5201230.4617548902</v>
      </c>
      <c r="J18" s="14">
        <f>'Resumo Mensal'!H4</f>
        <v>6754559.1703638081</v>
      </c>
      <c r="L18" s="11"/>
      <c r="M18" s="11"/>
      <c r="N18" s="11"/>
    </row>
    <row r="19" spans="1:14" x14ac:dyDescent="0.25">
      <c r="A19" s="12">
        <f>'Resumo Mensal'!A5</f>
        <v>46235</v>
      </c>
      <c r="B19" s="11">
        <f>'Resumo Mensal'!B5</f>
        <v>3</v>
      </c>
      <c r="C19" s="11">
        <f>'Resumo Mensal'!C5</f>
        <v>4</v>
      </c>
      <c r="D19" s="11">
        <f>'Resumo Mensal'!D5</f>
        <v>84</v>
      </c>
      <c r="E19" s="14">
        <f>'Resumo Mensal'!E5</f>
        <v>200811.31217623054</v>
      </c>
      <c r="F19" s="14"/>
      <c r="G19" s="14"/>
      <c r="H19" s="12">
        <f>'Resumo Mensal'!A5</f>
        <v>46235</v>
      </c>
      <c r="I19" s="14">
        <f>'Resumo Mensal'!G5</f>
        <v>5000419.1495786598</v>
      </c>
      <c r="J19" s="14">
        <f>'Resumo Mensal'!H5</f>
        <v>6495512.5803638082</v>
      </c>
      <c r="L19" s="11"/>
      <c r="M19" s="11"/>
      <c r="N19" s="11"/>
    </row>
    <row r="20" spans="1:14" x14ac:dyDescent="0.25">
      <c r="A20" s="12">
        <f>'Resumo Mensal'!A6</f>
        <v>46266</v>
      </c>
      <c r="B20" s="11">
        <f>'Resumo Mensal'!B6</f>
        <v>4</v>
      </c>
      <c r="C20" s="11">
        <f>'Resumo Mensal'!C6</f>
        <v>8</v>
      </c>
      <c r="D20" s="11">
        <f>'Resumo Mensal'!D6</f>
        <v>80</v>
      </c>
      <c r="E20" s="14">
        <f>'Resumo Mensal'!E6</f>
        <v>300218.0329804389</v>
      </c>
      <c r="F20" s="14"/>
      <c r="G20" s="14"/>
      <c r="H20" s="12">
        <f>'Resumo Mensal'!A6</f>
        <v>46266</v>
      </c>
      <c r="I20" s="14">
        <f>'Resumo Mensal'!G6</f>
        <v>4700201.1165982205</v>
      </c>
      <c r="J20" s="14">
        <f>'Resumo Mensal'!H6</f>
        <v>6108231.3203638084</v>
      </c>
      <c r="L20" s="11"/>
      <c r="M20" s="11"/>
      <c r="N20" s="11"/>
    </row>
    <row r="21" spans="1:14" x14ac:dyDescent="0.25">
      <c r="A21" s="12">
        <f>'Resumo Mensal'!A7</f>
        <v>46296</v>
      </c>
      <c r="B21" s="11">
        <f>'Resumo Mensal'!B7</f>
        <v>8</v>
      </c>
      <c r="C21" s="11">
        <f>'Resumo Mensal'!C7</f>
        <v>16</v>
      </c>
      <c r="D21" s="11">
        <f>'Resumo Mensal'!D7</f>
        <v>72</v>
      </c>
      <c r="E21" s="14">
        <f>'Resumo Mensal'!E7</f>
        <v>576083.85340177908</v>
      </c>
      <c r="F21" s="14"/>
      <c r="G21" s="14"/>
      <c r="H21" s="12">
        <f>'Resumo Mensal'!A7</f>
        <v>46296</v>
      </c>
      <c r="I21" s="14">
        <f>'Resumo Mensal'!G7</f>
        <v>4124117.2631964413</v>
      </c>
      <c r="J21" s="14">
        <f>'Resumo Mensal'!H7</f>
        <v>5365083.1503638085</v>
      </c>
      <c r="L21" s="11"/>
      <c r="M21" s="11"/>
      <c r="N21" s="11"/>
    </row>
    <row r="22" spans="1:14" x14ac:dyDescent="0.25">
      <c r="A22" s="12">
        <f>'Resumo Mensal'!A8</f>
        <v>46327</v>
      </c>
      <c r="B22" s="11">
        <f>'Resumo Mensal'!B8</f>
        <v>11</v>
      </c>
      <c r="C22" s="11">
        <f>'Resumo Mensal'!C8</f>
        <v>27</v>
      </c>
      <c r="D22" s="11">
        <f>'Resumo Mensal'!D8</f>
        <v>61</v>
      </c>
      <c r="E22" s="14">
        <f>'Resumo Mensal'!E8</f>
        <v>801247.37813710817</v>
      </c>
      <c r="F22" s="14"/>
      <c r="G22" s="14"/>
      <c r="H22" s="12">
        <f>'Resumo Mensal'!A8</f>
        <v>46327</v>
      </c>
      <c r="I22" s="14">
        <f>'Resumo Mensal'!G8</f>
        <v>3322869.8850593334</v>
      </c>
      <c r="J22" s="14">
        <f>'Resumo Mensal'!H8</f>
        <v>4331474.0303638075</v>
      </c>
      <c r="L22" s="11"/>
      <c r="M22" s="11"/>
      <c r="N22" s="11"/>
    </row>
    <row r="23" spans="1:14" x14ac:dyDescent="0.25">
      <c r="A23" s="12">
        <f>'Resumo Mensal'!A9</f>
        <v>46357</v>
      </c>
      <c r="B23" s="11">
        <f>'Resumo Mensal'!B9</f>
        <v>4</v>
      </c>
      <c r="C23" s="11">
        <f>'Resumo Mensal'!C9</f>
        <v>31</v>
      </c>
      <c r="D23" s="11">
        <f>'Resumo Mensal'!D9</f>
        <v>57</v>
      </c>
      <c r="E23" s="14">
        <f>'Resumo Mensal'!E9</f>
        <v>300218.0329804389</v>
      </c>
      <c r="F23" s="14"/>
      <c r="G23" s="14"/>
      <c r="H23" s="12">
        <f>'Resumo Mensal'!A9</f>
        <v>46357</v>
      </c>
      <c r="I23" s="14">
        <f>'Resumo Mensal'!G9</f>
        <v>3022651.8520788942</v>
      </c>
      <c r="J23" s="14">
        <f>'Resumo Mensal'!H9</f>
        <v>3944192.7703638077</v>
      </c>
      <c r="L23" s="11"/>
      <c r="M23" s="11"/>
      <c r="N23" s="11"/>
    </row>
    <row r="24" spans="1:14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</sheetData>
  <mergeCells count="10">
    <mergeCell ref="A10:F10"/>
    <mergeCell ref="A11:C13"/>
    <mergeCell ref="D11:F13"/>
    <mergeCell ref="H10:N10"/>
    <mergeCell ref="A1:N2"/>
    <mergeCell ref="A3:N3"/>
    <mergeCell ref="A5:C7"/>
    <mergeCell ref="D5:F7"/>
    <mergeCell ref="G5:I7"/>
    <mergeCell ref="J5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2CB2-C52F-4BBF-8DE9-25F70B8B0D24}">
  <dimension ref="A1:AA19"/>
  <sheetViews>
    <sheetView workbookViewId="0">
      <selection activeCell="A4" sqref="A4:AA7"/>
    </sheetView>
  </sheetViews>
  <sheetFormatPr defaultRowHeight="15" x14ac:dyDescent="0.25"/>
  <cols>
    <col min="1" max="1" width="47.42578125" customWidth="1"/>
    <col min="2" max="2" width="7.5703125" customWidth="1"/>
    <col min="3" max="3" width="16.28515625" customWidth="1"/>
    <col min="4" max="4" width="9.140625" customWidth="1"/>
    <col min="5" max="5" width="27.7109375" customWidth="1"/>
    <col min="6" max="6" width="25" customWidth="1"/>
    <col min="7" max="7" width="26.5703125" customWidth="1"/>
    <col min="8" max="8" width="17.7109375" customWidth="1"/>
    <col min="9" max="12" width="9.140625" customWidth="1"/>
    <col min="13" max="13" width="15.28515625" bestFit="1" customWidth="1"/>
    <col min="14" max="14" width="14.140625" bestFit="1" customWidth="1"/>
    <col min="15" max="15" width="19" customWidth="1"/>
    <col min="16" max="16" width="17.85546875" customWidth="1"/>
    <col min="17" max="17" width="17.140625" customWidth="1"/>
    <col min="18" max="18" width="21.28515625" bestFit="1" customWidth="1"/>
    <col min="19" max="20" width="26.28515625" bestFit="1" customWidth="1"/>
    <col min="21" max="21" width="9" bestFit="1" customWidth="1"/>
    <col min="22" max="22" width="12.85546875" bestFit="1" customWidth="1"/>
    <col min="23" max="23" width="12.42578125" bestFit="1" customWidth="1"/>
    <col min="24" max="24" width="7.85546875" bestFit="1" customWidth="1"/>
    <col min="25" max="25" width="18.140625" bestFit="1" customWidth="1"/>
    <col min="26" max="26" width="22.85546875" bestFit="1" customWidth="1"/>
    <col min="27" max="27" width="33.7109375" bestFit="1" customWidth="1"/>
  </cols>
  <sheetData>
    <row r="1" spans="1:27" ht="30.75" x14ac:dyDescent="0.3">
      <c r="A1" s="19" t="s">
        <v>274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27" ht="16.5" x14ac:dyDescent="0.3">
      <c r="A2" t="s">
        <v>275</v>
      </c>
      <c r="B2" s="20">
        <v>17</v>
      </c>
      <c r="C2" s="20">
        <v>15</v>
      </c>
      <c r="D2" s="20">
        <v>16</v>
      </c>
      <c r="E2" s="20">
        <v>15</v>
      </c>
      <c r="F2" s="20">
        <v>16</v>
      </c>
      <c r="G2" s="20">
        <v>17</v>
      </c>
      <c r="H2" s="20">
        <v>18</v>
      </c>
      <c r="I2" s="20">
        <v>17</v>
      </c>
      <c r="J2" s="20">
        <v>18</v>
      </c>
      <c r="K2" s="20">
        <v>17</v>
      </c>
      <c r="L2" s="20">
        <v>16</v>
      </c>
      <c r="M2" s="20">
        <v>18</v>
      </c>
      <c r="N2" s="20"/>
      <c r="O2" s="20"/>
      <c r="R2" s="98" t="s">
        <v>325</v>
      </c>
      <c r="S2" s="99"/>
      <c r="T2" s="99"/>
      <c r="U2" s="99"/>
      <c r="V2" s="99"/>
      <c r="W2" s="99"/>
      <c r="X2" s="99"/>
      <c r="Y2" s="99"/>
      <c r="Z2" s="99"/>
      <c r="AA2" s="99"/>
    </row>
    <row r="3" spans="1:27" ht="16.5" x14ac:dyDescent="0.25">
      <c r="A3" s="21" t="s">
        <v>276</v>
      </c>
      <c r="B3" s="22" t="s">
        <v>277</v>
      </c>
      <c r="C3" s="22" t="s">
        <v>278</v>
      </c>
      <c r="D3" s="22" t="s">
        <v>279</v>
      </c>
      <c r="E3" s="22" t="s">
        <v>280</v>
      </c>
      <c r="F3" s="22" t="s">
        <v>281</v>
      </c>
      <c r="G3" s="22" t="s">
        <v>282</v>
      </c>
      <c r="H3" s="22" t="s">
        <v>283</v>
      </c>
      <c r="I3" s="22" t="s">
        <v>284</v>
      </c>
      <c r="J3" s="22" t="s">
        <v>285</v>
      </c>
      <c r="K3" s="22" t="s">
        <v>286</v>
      </c>
      <c r="L3" s="22" t="s">
        <v>287</v>
      </c>
      <c r="M3" s="22" t="s">
        <v>288</v>
      </c>
      <c r="N3" s="23" t="s">
        <v>289</v>
      </c>
      <c r="O3" s="23" t="s">
        <v>290</v>
      </c>
      <c r="P3" s="23" t="s">
        <v>291</v>
      </c>
      <c r="Q3" s="67" t="s">
        <v>0</v>
      </c>
      <c r="R3" s="42" t="s">
        <v>306</v>
      </c>
      <c r="S3" s="42" t="s">
        <v>307</v>
      </c>
      <c r="T3" s="42" t="s">
        <v>307</v>
      </c>
      <c r="U3" s="42" t="s">
        <v>318</v>
      </c>
      <c r="V3" s="42" t="s">
        <v>319</v>
      </c>
      <c r="W3" s="42" t="s">
        <v>315</v>
      </c>
      <c r="X3" s="42" t="s">
        <v>320</v>
      </c>
      <c r="Y3" s="42" t="s">
        <v>321</v>
      </c>
      <c r="Z3" s="42" t="s">
        <v>323</v>
      </c>
      <c r="AA3" s="42" t="s">
        <v>322</v>
      </c>
    </row>
    <row r="4" spans="1:27" x14ac:dyDescent="0.25">
      <c r="A4" s="24" t="s">
        <v>289</v>
      </c>
      <c r="B4" s="25">
        <v>6390.4151363636374</v>
      </c>
      <c r="C4" s="25">
        <v>5638.601590909092</v>
      </c>
      <c r="D4" s="25">
        <v>6014.5083636363643</v>
      </c>
      <c r="E4" s="25">
        <v>5638.601590909092</v>
      </c>
      <c r="F4" s="25">
        <v>6014.5083636363643</v>
      </c>
      <c r="G4" s="25">
        <v>6390.4151363636374</v>
      </c>
      <c r="H4" s="25">
        <v>6766.3219090909097</v>
      </c>
      <c r="I4" s="25">
        <v>6390.4151363636374</v>
      </c>
      <c r="J4" s="25">
        <v>6766.3219090909097</v>
      </c>
      <c r="K4" s="25">
        <v>6390.4151363636374</v>
      </c>
      <c r="L4" s="25">
        <v>6014.5083636363643</v>
      </c>
      <c r="M4" s="25">
        <v>6766.3219090909097</v>
      </c>
      <c r="N4" s="26">
        <v>75181.354545454524</v>
      </c>
      <c r="O4" s="25">
        <v>6265.112878787877</v>
      </c>
      <c r="P4" s="25">
        <v>417.6741919191918</v>
      </c>
      <c r="Q4" s="68">
        <v>26.946722059302697</v>
      </c>
      <c r="R4" s="66">
        <v>15.5</v>
      </c>
      <c r="S4" s="43">
        <v>25</v>
      </c>
      <c r="T4" s="43">
        <f>SUM(T5:T8)</f>
        <v>16.706967676767675</v>
      </c>
      <c r="U4" s="25">
        <f>SUM(U5:U8)</f>
        <v>9</v>
      </c>
      <c r="V4" s="43">
        <f>SUM(V5:V8)</f>
        <v>4</v>
      </c>
      <c r="W4" s="43">
        <f>SUM(U4:V4)</f>
        <v>13</v>
      </c>
      <c r="X4" s="43">
        <f>T4-W4</f>
        <v>3.7069676767676754</v>
      </c>
      <c r="Y4" s="43">
        <f>SUM(Y5:Y7)</f>
        <v>85.81486610028675</v>
      </c>
      <c r="Z4" s="43">
        <v>34</v>
      </c>
      <c r="AA4" s="43">
        <v>85.81486610028675</v>
      </c>
    </row>
    <row r="5" spans="1:27" x14ac:dyDescent="0.25">
      <c r="A5" s="27" t="s">
        <v>292</v>
      </c>
      <c r="B5" s="28">
        <v>1775.0411474787616</v>
      </c>
      <c r="C5" s="28">
        <v>1566.2127771871424</v>
      </c>
      <c r="D5" s="28">
        <v>1670.6269623329517</v>
      </c>
      <c r="E5" s="28">
        <v>1566.2127771871424</v>
      </c>
      <c r="F5" s="28">
        <v>1670.6269623329517</v>
      </c>
      <c r="G5" s="28">
        <v>1775.0411474787616</v>
      </c>
      <c r="H5" s="28">
        <v>1879.4553326245709</v>
      </c>
      <c r="I5" s="28">
        <v>1775.0411474787616</v>
      </c>
      <c r="J5" s="28">
        <v>1879.4553326245709</v>
      </c>
      <c r="K5" s="28">
        <v>1775.0411474787616</v>
      </c>
      <c r="L5" s="28">
        <v>1670.6269623329517</v>
      </c>
      <c r="M5" s="28">
        <v>1879.4553326245709</v>
      </c>
      <c r="N5" s="29">
        <v>20882.837029161899</v>
      </c>
      <c r="O5" s="28">
        <v>1740.2364190968249</v>
      </c>
      <c r="P5" s="28">
        <v>116.01576127312165</v>
      </c>
      <c r="Q5" s="69">
        <v>7.4848878240723646</v>
      </c>
      <c r="R5" s="5">
        <f>P5/Q5</f>
        <v>15.5</v>
      </c>
      <c r="S5" s="44">
        <v>25</v>
      </c>
      <c r="T5" s="44">
        <f>P5/S5</f>
        <v>4.6406304509248661</v>
      </c>
      <c r="U5" s="45">
        <f>SUM(N15:O15)</f>
        <v>2</v>
      </c>
      <c r="V5">
        <v>1</v>
      </c>
      <c r="W5" s="47">
        <f t="shared" ref="W5:W8" si="0">SUM(U5:V5)</f>
        <v>3</v>
      </c>
      <c r="X5" s="47">
        <f t="shared" ref="X5:X8" si="1">T5-W5</f>
        <v>1.6406304509248661</v>
      </c>
      <c r="Y5" s="47">
        <f>X5*S5</f>
        <v>41.015761273121655</v>
      </c>
      <c r="Z5" s="47">
        <f>T15</f>
        <v>10</v>
      </c>
      <c r="AA5" s="47">
        <f>Y5/Z5</f>
        <v>4.1015761273121658</v>
      </c>
    </row>
    <row r="6" spans="1:27" x14ac:dyDescent="0.25">
      <c r="A6" s="27" t="s">
        <v>293</v>
      </c>
      <c r="B6" s="28">
        <v>1917.8337339692403</v>
      </c>
      <c r="C6" s="28">
        <v>1692.2062358552118</v>
      </c>
      <c r="D6" s="28">
        <v>1805.0199849122262</v>
      </c>
      <c r="E6" s="28">
        <v>1692.2062358552118</v>
      </c>
      <c r="F6" s="28">
        <v>1805.0199849122262</v>
      </c>
      <c r="G6" s="28">
        <v>1917.8337339692403</v>
      </c>
      <c r="H6" s="28">
        <v>2030.6474830262543</v>
      </c>
      <c r="I6" s="28">
        <v>1917.8337339692403</v>
      </c>
      <c r="J6" s="28">
        <v>2030.6474830262543</v>
      </c>
      <c r="K6" s="28">
        <v>1917.8337339692403</v>
      </c>
      <c r="L6" s="28">
        <v>1805.0199849122262</v>
      </c>
      <c r="M6" s="28">
        <v>2030.6474830262543</v>
      </c>
      <c r="N6" s="29">
        <v>22562.74981140282</v>
      </c>
      <c r="O6" s="28">
        <v>1880.229150950235</v>
      </c>
      <c r="P6" s="28">
        <v>125.348610063349</v>
      </c>
      <c r="Q6" s="69">
        <v>8.087007100861225</v>
      </c>
      <c r="R6" s="5">
        <f t="shared" ref="R6:R8" si="2">P6/Q6</f>
        <v>15.500000000000002</v>
      </c>
      <c r="S6" s="44">
        <v>25</v>
      </c>
      <c r="T6" s="44">
        <f t="shared" ref="T6:T8" si="3">P6/S6</f>
        <v>5.0139444025339603</v>
      </c>
      <c r="U6" s="45">
        <f t="shared" ref="U6:U8" si="4">SUM(N16:O16)</f>
        <v>3</v>
      </c>
      <c r="V6">
        <v>1</v>
      </c>
      <c r="W6" s="47">
        <f t="shared" si="0"/>
        <v>4</v>
      </c>
      <c r="X6" s="47">
        <f t="shared" si="1"/>
        <v>1.0139444025339603</v>
      </c>
      <c r="Y6" s="47">
        <f t="shared" ref="Y6:Y8" si="5">X6*S6</f>
        <v>25.348610063349007</v>
      </c>
      <c r="Z6" s="47">
        <f>T18</f>
        <v>10</v>
      </c>
      <c r="AA6" s="47">
        <f t="shared" ref="AA6:AA8" si="6">Y6/Z6</f>
        <v>2.5348610063349009</v>
      </c>
    </row>
    <row r="7" spans="1:27" x14ac:dyDescent="0.25">
      <c r="A7" s="27" t="s">
        <v>294</v>
      </c>
      <c r="B7" s="28">
        <v>1062.5925698863859</v>
      </c>
      <c r="C7" s="28">
        <v>937.58167931151695</v>
      </c>
      <c r="D7" s="28">
        <v>1000.0871245989515</v>
      </c>
      <c r="E7" s="28">
        <v>937.58167931151695</v>
      </c>
      <c r="F7" s="28">
        <v>1000.0871245989515</v>
      </c>
      <c r="G7" s="28">
        <v>1062.5925698863859</v>
      </c>
      <c r="H7" s="28">
        <v>1125.0980151738204</v>
      </c>
      <c r="I7" s="28">
        <v>1062.5925698863859</v>
      </c>
      <c r="J7" s="28">
        <v>1125.0980151738204</v>
      </c>
      <c r="K7" s="28">
        <v>1062.5925698863859</v>
      </c>
      <c r="L7" s="28">
        <v>1000.0871245989515</v>
      </c>
      <c r="M7" s="28">
        <v>1125.0980151738204</v>
      </c>
      <c r="N7" s="29">
        <v>12501.089057486895</v>
      </c>
      <c r="O7" s="28">
        <v>1041.7574214572412</v>
      </c>
      <c r="P7" s="28">
        <v>69.450494763816081</v>
      </c>
      <c r="Q7" s="69">
        <v>4.4806770815365216</v>
      </c>
      <c r="R7" s="5">
        <f t="shared" si="2"/>
        <v>15.5</v>
      </c>
      <c r="S7" s="44">
        <v>25</v>
      </c>
      <c r="T7" s="44">
        <f t="shared" si="3"/>
        <v>2.7780197905526434</v>
      </c>
      <c r="U7" s="45">
        <f t="shared" si="4"/>
        <v>1</v>
      </c>
      <c r="V7">
        <v>1</v>
      </c>
      <c r="W7" s="47">
        <f t="shared" si="0"/>
        <v>2</v>
      </c>
      <c r="X7" s="47">
        <f t="shared" si="1"/>
        <v>0.77801979055264336</v>
      </c>
      <c r="Y7" s="47">
        <f t="shared" si="5"/>
        <v>19.450494763816085</v>
      </c>
      <c r="Z7" s="47">
        <f>T17</f>
        <v>5</v>
      </c>
      <c r="AA7" s="47">
        <f t="shared" si="6"/>
        <v>3.8900989527632168</v>
      </c>
    </row>
    <row r="8" spans="1:27" x14ac:dyDescent="0.25">
      <c r="A8" s="27" t="s">
        <v>295</v>
      </c>
      <c r="B8" s="28">
        <v>1634.947685029249</v>
      </c>
      <c r="C8" s="28">
        <v>1442.6008985552196</v>
      </c>
      <c r="D8" s="28">
        <v>1538.7742917922342</v>
      </c>
      <c r="E8" s="28">
        <v>1442.6008985552196</v>
      </c>
      <c r="F8" s="28">
        <v>1538.7742917922342</v>
      </c>
      <c r="G8" s="28">
        <v>1634.947685029249</v>
      </c>
      <c r="H8" s="28">
        <v>1731.1210782662633</v>
      </c>
      <c r="I8" s="28">
        <v>1634.947685029249</v>
      </c>
      <c r="J8" s="28">
        <v>1731.1210782662633</v>
      </c>
      <c r="K8" s="28">
        <v>1634.947685029249</v>
      </c>
      <c r="L8" s="28">
        <v>1538.7742917922342</v>
      </c>
      <c r="M8" s="28">
        <v>1731.1210782662633</v>
      </c>
      <c r="N8" s="29">
        <v>19234.678647402925</v>
      </c>
      <c r="O8" s="28">
        <v>1602.8898872835771</v>
      </c>
      <c r="P8" s="28">
        <v>106.85932581890513</v>
      </c>
      <c r="Q8" s="69">
        <v>6.8941500528325896</v>
      </c>
      <c r="R8" s="5">
        <f t="shared" si="2"/>
        <v>15.5</v>
      </c>
      <c r="S8" s="44">
        <v>25</v>
      </c>
      <c r="T8" s="44">
        <f t="shared" si="3"/>
        <v>4.2743730327562055</v>
      </c>
      <c r="U8" s="45">
        <f t="shared" si="4"/>
        <v>3</v>
      </c>
      <c r="V8">
        <v>1</v>
      </c>
      <c r="W8" s="47">
        <f t="shared" si="0"/>
        <v>4</v>
      </c>
      <c r="X8" s="47">
        <f t="shared" si="1"/>
        <v>0.2743730327562055</v>
      </c>
      <c r="Y8" s="47">
        <f t="shared" si="5"/>
        <v>6.8593258189051376</v>
      </c>
      <c r="Z8" s="47">
        <f>T16</f>
        <v>9</v>
      </c>
      <c r="AA8" s="47">
        <f t="shared" si="6"/>
        <v>0.76214731321168194</v>
      </c>
    </row>
    <row r="12" spans="1:27" ht="15.75" thickBot="1" x14ac:dyDescent="0.3">
      <c r="M12" s="5"/>
      <c r="N12" s="5"/>
      <c r="O12" s="5"/>
      <c r="P12" s="5"/>
      <c r="Q12" s="5"/>
      <c r="R12" s="5"/>
      <c r="S12" s="5"/>
      <c r="T12" s="5"/>
      <c r="U12" s="5"/>
    </row>
    <row r="13" spans="1:27" ht="15.75" thickBot="1" x14ac:dyDescent="0.3">
      <c r="A13" s="95" t="s">
        <v>296</v>
      </c>
      <c r="B13" s="96"/>
      <c r="C13" s="96"/>
      <c r="D13" s="97"/>
      <c r="E13" s="95" t="s">
        <v>301</v>
      </c>
      <c r="F13" s="97"/>
      <c r="G13" s="95" t="s">
        <v>303</v>
      </c>
      <c r="H13" s="97"/>
      <c r="I13" s="5"/>
      <c r="M13" s="5"/>
      <c r="N13" s="95" t="s">
        <v>314</v>
      </c>
      <c r="O13" s="96"/>
      <c r="P13" s="96"/>
      <c r="Q13" s="97"/>
      <c r="R13" s="95" t="s">
        <v>303</v>
      </c>
      <c r="S13" s="96"/>
      <c r="T13" s="96"/>
      <c r="U13" s="97"/>
    </row>
    <row r="14" spans="1:27" ht="39.75" customHeight="1" x14ac:dyDescent="0.25">
      <c r="A14" s="30" t="s">
        <v>297</v>
      </c>
      <c r="B14" s="31" t="s">
        <v>35</v>
      </c>
      <c r="C14" s="31" t="s">
        <v>298</v>
      </c>
      <c r="D14" s="32" t="s">
        <v>289</v>
      </c>
      <c r="E14" s="38" t="s">
        <v>300</v>
      </c>
      <c r="F14" s="39" t="s">
        <v>302</v>
      </c>
      <c r="G14" s="40" t="s">
        <v>304</v>
      </c>
      <c r="H14" s="40" t="s">
        <v>305</v>
      </c>
      <c r="I14" s="5"/>
      <c r="M14" s="54" t="s">
        <v>297</v>
      </c>
      <c r="N14" s="56" t="s">
        <v>310</v>
      </c>
      <c r="O14" s="50" t="s">
        <v>311</v>
      </c>
      <c r="P14" s="50" t="s">
        <v>308</v>
      </c>
      <c r="Q14" s="63" t="s">
        <v>316</v>
      </c>
      <c r="R14" s="52" t="s">
        <v>309</v>
      </c>
      <c r="S14" s="51" t="s">
        <v>312</v>
      </c>
      <c r="T14" s="51" t="s">
        <v>313</v>
      </c>
      <c r="U14" s="61" t="s">
        <v>317</v>
      </c>
    </row>
    <row r="15" spans="1:27" ht="18.75" x14ac:dyDescent="0.25">
      <c r="A15" s="33" t="s">
        <v>292</v>
      </c>
      <c r="B15" s="34">
        <v>2</v>
      </c>
      <c r="C15" s="34">
        <v>10</v>
      </c>
      <c r="D15" s="34">
        <f>SUM(B15:C15)</f>
        <v>12</v>
      </c>
      <c r="E15" s="36">
        <v>3.0274271810149251</v>
      </c>
      <c r="F15" s="36">
        <f>E15+D15</f>
        <v>15.027427181014925</v>
      </c>
      <c r="G15" s="36">
        <v>1</v>
      </c>
      <c r="H15" s="36">
        <f>G15+D15</f>
        <v>13</v>
      </c>
      <c r="M15" s="55" t="s">
        <v>292</v>
      </c>
      <c r="N15" s="53">
        <v>0</v>
      </c>
      <c r="O15" s="49">
        <v>2</v>
      </c>
      <c r="P15" s="49">
        <v>10</v>
      </c>
      <c r="Q15" s="62">
        <f>SUM(N15:P15)</f>
        <v>12</v>
      </c>
      <c r="R15" s="53">
        <v>3</v>
      </c>
      <c r="S15" s="49">
        <v>0</v>
      </c>
      <c r="T15" s="49">
        <v>10</v>
      </c>
      <c r="U15" s="62">
        <f>SUM(R15:T15)</f>
        <v>13</v>
      </c>
    </row>
    <row r="16" spans="1:27" ht="18.75" x14ac:dyDescent="0.25">
      <c r="A16" s="33" t="s">
        <v>295</v>
      </c>
      <c r="B16" s="34">
        <v>3</v>
      </c>
      <c r="C16" s="34">
        <v>9</v>
      </c>
      <c r="D16" s="34">
        <f t="shared" ref="D16:D19" si="7">SUM(B16:C16)</f>
        <v>12</v>
      </c>
      <c r="E16" s="36">
        <v>4</v>
      </c>
      <c r="F16" s="36">
        <f t="shared" ref="F16:F18" si="8">E16+D16</f>
        <v>16</v>
      </c>
      <c r="G16" s="36">
        <v>1</v>
      </c>
      <c r="H16" s="36">
        <f t="shared" ref="H16:H18" si="9">G16+D16</f>
        <v>13</v>
      </c>
      <c r="M16" s="55" t="s">
        <v>295</v>
      </c>
      <c r="N16" s="53">
        <v>2</v>
      </c>
      <c r="O16" s="49">
        <v>1</v>
      </c>
      <c r="P16" s="49">
        <v>9</v>
      </c>
      <c r="Q16" s="62">
        <f t="shared" ref="Q16:Q18" si="10">SUM(N16:P16)</f>
        <v>12</v>
      </c>
      <c r="R16" s="53">
        <v>2</v>
      </c>
      <c r="S16" s="49">
        <v>2</v>
      </c>
      <c r="T16" s="49">
        <v>9</v>
      </c>
      <c r="U16" s="62">
        <f t="shared" ref="U16:U18" si="11">SUM(R16:T16)</f>
        <v>13</v>
      </c>
    </row>
    <row r="17" spans="1:21" ht="18.75" x14ac:dyDescent="0.25">
      <c r="A17" s="33" t="s">
        <v>294</v>
      </c>
      <c r="B17" s="34">
        <v>1</v>
      </c>
      <c r="C17" s="34">
        <v>5</v>
      </c>
      <c r="D17" s="34">
        <f t="shared" si="7"/>
        <v>6</v>
      </c>
      <c r="E17" s="36">
        <v>3</v>
      </c>
      <c r="F17" s="36">
        <f t="shared" si="8"/>
        <v>9</v>
      </c>
      <c r="G17" s="36">
        <v>1</v>
      </c>
      <c r="H17" s="36">
        <f t="shared" si="9"/>
        <v>7</v>
      </c>
      <c r="M17" s="55" t="s">
        <v>294</v>
      </c>
      <c r="N17" s="53">
        <v>1</v>
      </c>
      <c r="O17" s="49">
        <v>0</v>
      </c>
      <c r="P17" s="49">
        <v>5</v>
      </c>
      <c r="Q17" s="62">
        <f t="shared" si="10"/>
        <v>6</v>
      </c>
      <c r="R17" s="53">
        <v>1</v>
      </c>
      <c r="S17" s="49">
        <v>1</v>
      </c>
      <c r="T17" s="49">
        <v>5</v>
      </c>
      <c r="U17" s="62">
        <f t="shared" si="11"/>
        <v>7</v>
      </c>
    </row>
    <row r="18" spans="1:21" ht="18.75" x14ac:dyDescent="0.25">
      <c r="A18" s="33" t="s">
        <v>299</v>
      </c>
      <c r="B18" s="34">
        <v>3</v>
      </c>
      <c r="C18" s="34">
        <v>10</v>
      </c>
      <c r="D18" s="34">
        <f t="shared" si="7"/>
        <v>13</v>
      </c>
      <c r="E18" s="36">
        <v>4</v>
      </c>
      <c r="F18" s="36">
        <f t="shared" si="8"/>
        <v>17</v>
      </c>
      <c r="G18" s="36">
        <v>1</v>
      </c>
      <c r="H18" s="36">
        <f t="shared" si="9"/>
        <v>14</v>
      </c>
      <c r="M18" s="55" t="s">
        <v>299</v>
      </c>
      <c r="N18" s="53">
        <v>2</v>
      </c>
      <c r="O18" s="49">
        <v>1</v>
      </c>
      <c r="P18" s="49">
        <v>10</v>
      </c>
      <c r="Q18" s="62">
        <f t="shared" si="10"/>
        <v>13</v>
      </c>
      <c r="R18" s="53">
        <v>2</v>
      </c>
      <c r="S18" s="49">
        <v>2</v>
      </c>
      <c r="T18" s="49">
        <v>10</v>
      </c>
      <c r="U18" s="62">
        <f t="shared" si="11"/>
        <v>14</v>
      </c>
    </row>
    <row r="19" spans="1:21" ht="19.5" thickBot="1" x14ac:dyDescent="0.3">
      <c r="A19" s="33" t="s">
        <v>289</v>
      </c>
      <c r="B19" s="34">
        <f>SUM(B15:B18)</f>
        <v>9</v>
      </c>
      <c r="C19" s="34">
        <f>SUM(C15:C18)</f>
        <v>34</v>
      </c>
      <c r="D19" s="35">
        <f t="shared" si="7"/>
        <v>43</v>
      </c>
      <c r="E19" s="37">
        <v>14.027427181014929</v>
      </c>
      <c r="F19" s="37">
        <f>E19+D19</f>
        <v>57.027427181014929</v>
      </c>
      <c r="G19" s="37">
        <f>SUM(G15:G18)</f>
        <v>4</v>
      </c>
      <c r="H19" s="37">
        <f>G19+D19</f>
        <v>47</v>
      </c>
      <c r="M19" s="57" t="s">
        <v>289</v>
      </c>
      <c r="N19" s="58">
        <f>SUM(N15:N18)</f>
        <v>5</v>
      </c>
      <c r="O19" s="59">
        <f t="shared" ref="O19:U19" si="12">SUM(O15:O18)</f>
        <v>4</v>
      </c>
      <c r="P19" s="59">
        <f t="shared" si="12"/>
        <v>34</v>
      </c>
      <c r="Q19" s="60">
        <f t="shared" si="12"/>
        <v>43</v>
      </c>
      <c r="R19" s="58">
        <f t="shared" si="12"/>
        <v>8</v>
      </c>
      <c r="S19" s="59">
        <f t="shared" si="12"/>
        <v>5</v>
      </c>
      <c r="T19" s="59">
        <f t="shared" si="12"/>
        <v>34</v>
      </c>
      <c r="U19" s="60">
        <f t="shared" si="12"/>
        <v>47</v>
      </c>
    </row>
  </sheetData>
  <mergeCells count="6">
    <mergeCell ref="A13:D13"/>
    <mergeCell ref="R2:AA2"/>
    <mergeCell ref="E13:F13"/>
    <mergeCell ref="G13:H13"/>
    <mergeCell ref="N13:Q13"/>
    <mergeCell ref="R13:U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C1" workbookViewId="0">
      <selection activeCell="I37" sqref="I37:I85"/>
    </sheetView>
  </sheetViews>
  <sheetFormatPr defaultRowHeight="15" x14ac:dyDescent="0.25"/>
  <cols>
    <col min="1" max="1" width="15" customWidth="1"/>
    <col min="2" max="2" width="30.42578125" customWidth="1"/>
    <col min="3" max="3" width="29.140625" customWidth="1"/>
    <col min="4" max="4" width="32" customWidth="1"/>
    <col min="5" max="5" width="13.7109375" customWidth="1"/>
    <col min="6" max="6" width="20.7109375" customWidth="1"/>
    <col min="7" max="7" width="15.7109375" customWidth="1"/>
    <col min="8" max="8" width="21" customWidth="1"/>
    <col min="9" max="9" width="11.28515625" bestFit="1" customWidth="1"/>
    <col min="10" max="10" width="25.42578125" customWidth="1"/>
    <col min="11" max="11" width="23.7109375" customWidth="1"/>
    <col min="12" max="12" width="14" style="4" customWidth="1"/>
    <col min="13" max="13" width="20" customWidth="1"/>
    <col min="14" max="14" width="11" customWidth="1"/>
  </cols>
  <sheetData>
    <row r="1" spans="1:14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85" t="s">
        <v>386</v>
      </c>
      <c r="L1" s="16" t="s">
        <v>10</v>
      </c>
      <c r="M1" s="10" t="s">
        <v>11</v>
      </c>
      <c r="N1" s="10" t="s">
        <v>12</v>
      </c>
    </row>
    <row r="2" spans="1:14" hidden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18</v>
      </c>
      <c r="H2" s="3" t="s">
        <v>19</v>
      </c>
      <c r="I2" s="2" t="s">
        <v>20</v>
      </c>
      <c r="J2" s="2" t="s">
        <v>21</v>
      </c>
      <c r="K2" s="2" t="s">
        <v>389</v>
      </c>
      <c r="L2" s="9">
        <v>0</v>
      </c>
      <c r="M2" s="9">
        <f>Tabela1[[#This Row],[Meta Hoje]]*Tabela1[[#This Row],[Reajuste]]</f>
        <v>0</v>
      </c>
      <c r="N2" s="17">
        <f>_xlfn.XLOOKUP(Tabela1[[#This Row],[Subprocesso]],Ajuste!A:A,Ajuste!B:B,0)</f>
        <v>1.21</v>
      </c>
    </row>
    <row r="3" spans="1:14" hidden="1" x14ac:dyDescent="0.25">
      <c r="A3" s="2" t="s">
        <v>22</v>
      </c>
      <c r="B3" s="2" t="s">
        <v>23</v>
      </c>
      <c r="C3" s="2" t="s">
        <v>15</v>
      </c>
      <c r="D3" s="2" t="s">
        <v>24</v>
      </c>
      <c r="E3" s="2" t="s">
        <v>17</v>
      </c>
      <c r="F3" s="2" t="s">
        <v>17</v>
      </c>
      <c r="G3" s="2" t="s">
        <v>18</v>
      </c>
      <c r="H3" s="3" t="s">
        <v>19</v>
      </c>
      <c r="I3" s="78" t="s">
        <v>25</v>
      </c>
      <c r="J3" s="2" t="s">
        <v>26</v>
      </c>
      <c r="K3" s="2" t="s">
        <v>389</v>
      </c>
      <c r="L3" s="9">
        <v>51105.432477272305</v>
      </c>
      <c r="M3" s="9">
        <f>Tabela1[[#This Row],[Meta Hoje]]*Tabela1[[#This Row],[Reajuste]]</f>
        <v>61837.57329749949</v>
      </c>
      <c r="N3" s="17">
        <f>_xlfn.XLOOKUP(Tabela1[[#This Row],[Subprocesso]],Ajuste!A:A,Ajuste!B:B,0)</f>
        <v>1.21</v>
      </c>
    </row>
    <row r="4" spans="1:14" hidden="1" x14ac:dyDescent="0.25">
      <c r="A4" s="2" t="s">
        <v>27</v>
      </c>
      <c r="B4" s="2" t="s">
        <v>23</v>
      </c>
      <c r="C4" s="2" t="s">
        <v>15</v>
      </c>
      <c r="D4" s="2" t="s">
        <v>28</v>
      </c>
      <c r="E4" s="2" t="s">
        <v>29</v>
      </c>
      <c r="F4" s="2" t="s">
        <v>30</v>
      </c>
      <c r="G4" s="2" t="s">
        <v>18</v>
      </c>
      <c r="H4" s="3" t="s">
        <v>19</v>
      </c>
      <c r="I4" s="2" t="s">
        <v>31</v>
      </c>
      <c r="J4" s="2" t="s">
        <v>26</v>
      </c>
      <c r="K4" s="2" t="s">
        <v>389</v>
      </c>
      <c r="L4" s="9">
        <v>51105.432477272305</v>
      </c>
      <c r="M4" s="9">
        <f>Tabela1[[#This Row],[Meta Hoje]]*Tabela1[[#This Row],[Reajuste]]</f>
        <v>61837.57329749949</v>
      </c>
      <c r="N4" s="17">
        <f>_xlfn.XLOOKUP(Tabela1[[#This Row],[Subprocesso]],Ajuste!A:A,Ajuste!B:B,0)</f>
        <v>1.21</v>
      </c>
    </row>
    <row r="5" spans="1:14" hidden="1" x14ac:dyDescent="0.25">
      <c r="A5" s="2" t="s">
        <v>32</v>
      </c>
      <c r="B5" s="2" t="s">
        <v>23</v>
      </c>
      <c r="C5" s="2" t="s">
        <v>15</v>
      </c>
      <c r="D5" s="2" t="s">
        <v>24</v>
      </c>
      <c r="E5" s="2" t="s">
        <v>17</v>
      </c>
      <c r="F5" s="2" t="s">
        <v>17</v>
      </c>
      <c r="G5" s="2" t="s">
        <v>18</v>
      </c>
      <c r="H5" s="3" t="s">
        <v>19</v>
      </c>
      <c r="I5" s="2" t="s">
        <v>33</v>
      </c>
      <c r="J5" s="2" t="s">
        <v>26</v>
      </c>
      <c r="K5" s="2" t="s">
        <v>389</v>
      </c>
      <c r="L5" s="9">
        <v>51105.432477272305</v>
      </c>
      <c r="M5" s="9">
        <f>Tabela1[[#This Row],[Meta Hoje]]*Tabela1[[#This Row],[Reajuste]]</f>
        <v>61837.57329749949</v>
      </c>
      <c r="N5" s="17">
        <f>_xlfn.XLOOKUP(Tabela1[[#This Row],[Subprocesso]],Ajuste!A:A,Ajuste!B:B,0)</f>
        <v>1.21</v>
      </c>
    </row>
    <row r="6" spans="1:14" hidden="1" x14ac:dyDescent="0.25">
      <c r="A6" s="2" t="s">
        <v>34</v>
      </c>
      <c r="B6" s="2" t="s">
        <v>35</v>
      </c>
      <c r="C6" s="2" t="s">
        <v>36</v>
      </c>
      <c r="D6" s="2" t="s">
        <v>24</v>
      </c>
      <c r="E6" s="2" t="s">
        <v>17</v>
      </c>
      <c r="F6" s="2" t="s">
        <v>17</v>
      </c>
      <c r="G6" s="2" t="s">
        <v>18</v>
      </c>
      <c r="H6" s="3" t="s">
        <v>19</v>
      </c>
      <c r="I6" s="2" t="s">
        <v>37</v>
      </c>
      <c r="J6" s="2" t="s">
        <v>26</v>
      </c>
      <c r="K6" s="2" t="s">
        <v>389</v>
      </c>
      <c r="L6" s="9">
        <v>39477.950268264001</v>
      </c>
      <c r="M6" s="9">
        <f>Tabela1[[#This Row],[Meta Hoje]]*Tabela1[[#This Row],[Reajuste]]</f>
        <v>71455.089985557846</v>
      </c>
      <c r="N6" s="17">
        <f>_xlfn.XLOOKUP(Tabela1[[#This Row],[Subprocesso]],Ajuste!A:A,Ajuste!B:B,0)</f>
        <v>1.81</v>
      </c>
    </row>
    <row r="7" spans="1:14" hidden="1" x14ac:dyDescent="0.25">
      <c r="A7" s="2" t="s">
        <v>38</v>
      </c>
      <c r="B7" s="2" t="s">
        <v>23</v>
      </c>
      <c r="C7" s="2" t="s">
        <v>15</v>
      </c>
      <c r="D7" s="2" t="s">
        <v>39</v>
      </c>
      <c r="E7" s="2" t="s">
        <v>40</v>
      </c>
      <c r="F7" s="2" t="s">
        <v>40</v>
      </c>
      <c r="G7" s="2" t="s">
        <v>18</v>
      </c>
      <c r="H7" s="3" t="s">
        <v>19</v>
      </c>
      <c r="I7" s="2" t="s">
        <v>41</v>
      </c>
      <c r="J7" s="2" t="s">
        <v>26</v>
      </c>
      <c r="K7" s="2" t="s">
        <v>389</v>
      </c>
      <c r="L7" s="9">
        <v>51105.432477272305</v>
      </c>
      <c r="M7" s="9">
        <f>Tabela1[[#This Row],[Meta Hoje]]*Tabela1[[#This Row],[Reajuste]]</f>
        <v>61837.57329749949</v>
      </c>
      <c r="N7" s="17">
        <f>_xlfn.XLOOKUP(Tabela1[[#This Row],[Subprocesso]],Ajuste!A:A,Ajuste!B:B,0)</f>
        <v>1.21</v>
      </c>
    </row>
    <row r="8" spans="1:14" hidden="1" x14ac:dyDescent="0.25">
      <c r="A8" s="2" t="s">
        <v>42</v>
      </c>
      <c r="B8" s="2" t="s">
        <v>35</v>
      </c>
      <c r="C8" s="2" t="s">
        <v>36</v>
      </c>
      <c r="D8" s="2" t="s">
        <v>28</v>
      </c>
      <c r="E8" s="2" t="s">
        <v>29</v>
      </c>
      <c r="F8" s="2" t="s">
        <v>29</v>
      </c>
      <c r="G8" s="2" t="s">
        <v>18</v>
      </c>
      <c r="H8" s="3" t="s">
        <v>19</v>
      </c>
      <c r="I8" s="2" t="s">
        <v>43</v>
      </c>
      <c r="J8" s="2" t="s">
        <v>26</v>
      </c>
      <c r="K8" s="2" t="s">
        <v>389</v>
      </c>
      <c r="L8" s="9">
        <v>39477.950268264001</v>
      </c>
      <c r="M8" s="9">
        <f>Tabela1[[#This Row],[Meta Hoje]]*Tabela1[[#This Row],[Reajuste]]</f>
        <v>71455.089985557846</v>
      </c>
      <c r="N8" s="17">
        <f>_xlfn.XLOOKUP(Tabela1[[#This Row],[Subprocesso]],Ajuste!A:A,Ajuste!B:B,0)</f>
        <v>1.81</v>
      </c>
    </row>
    <row r="9" spans="1:14" hidden="1" x14ac:dyDescent="0.25">
      <c r="A9" s="2" t="s">
        <v>44</v>
      </c>
      <c r="B9" s="2" t="s">
        <v>23</v>
      </c>
      <c r="C9" s="2" t="s">
        <v>15</v>
      </c>
      <c r="D9" s="2" t="s">
        <v>24</v>
      </c>
      <c r="E9" s="2" t="s">
        <v>17</v>
      </c>
      <c r="F9" s="2" t="s">
        <v>17</v>
      </c>
      <c r="G9" s="2" t="s">
        <v>18</v>
      </c>
      <c r="H9" s="3" t="s">
        <v>19</v>
      </c>
      <c r="I9" s="2" t="s">
        <v>45</v>
      </c>
      <c r="J9" s="2" t="s">
        <v>26</v>
      </c>
      <c r="K9" s="2" t="s">
        <v>389</v>
      </c>
      <c r="L9" s="9">
        <v>51105.432477272305</v>
      </c>
      <c r="M9" s="9">
        <f>Tabela1[[#This Row],[Meta Hoje]]*Tabela1[[#This Row],[Reajuste]]</f>
        <v>61837.57329749949</v>
      </c>
      <c r="N9" s="17">
        <f>_xlfn.XLOOKUP(Tabela1[[#This Row],[Subprocesso]],Ajuste!A:A,Ajuste!B:B,0)</f>
        <v>1.21</v>
      </c>
    </row>
    <row r="10" spans="1:14" hidden="1" x14ac:dyDescent="0.25">
      <c r="A10" s="2" t="s">
        <v>46</v>
      </c>
      <c r="B10" s="2" t="s">
        <v>23</v>
      </c>
      <c r="C10" s="2" t="s">
        <v>15</v>
      </c>
      <c r="D10" s="2" t="s">
        <v>47</v>
      </c>
      <c r="E10" s="2" t="s">
        <v>48</v>
      </c>
      <c r="F10" s="2" t="s">
        <v>48</v>
      </c>
      <c r="G10" s="2" t="s">
        <v>18</v>
      </c>
      <c r="H10" s="3" t="s">
        <v>19</v>
      </c>
      <c r="I10" s="2" t="s">
        <v>49</v>
      </c>
      <c r="J10" s="2" t="s">
        <v>26</v>
      </c>
      <c r="K10" s="2" t="s">
        <v>389</v>
      </c>
      <c r="L10" s="9">
        <v>51105.432477272305</v>
      </c>
      <c r="M10" s="9">
        <f>Tabela1[[#This Row],[Meta Hoje]]*Tabela1[[#This Row],[Reajuste]]</f>
        <v>61837.57329749949</v>
      </c>
      <c r="N10" s="17">
        <f>_xlfn.XLOOKUP(Tabela1[[#This Row],[Subprocesso]],Ajuste!A:A,Ajuste!B:B,0)</f>
        <v>1.21</v>
      </c>
    </row>
    <row r="11" spans="1:14" hidden="1" x14ac:dyDescent="0.25">
      <c r="A11" s="2" t="s">
        <v>50</v>
      </c>
      <c r="B11" s="2" t="s">
        <v>51</v>
      </c>
      <c r="C11" s="2" t="s">
        <v>15</v>
      </c>
      <c r="D11" s="2" t="s">
        <v>24</v>
      </c>
      <c r="E11" s="2" t="s">
        <v>17</v>
      </c>
      <c r="F11" s="2" t="s">
        <v>52</v>
      </c>
      <c r="G11" s="2" t="s">
        <v>18</v>
      </c>
      <c r="H11" s="3" t="s">
        <v>19</v>
      </c>
      <c r="I11" s="2" t="s">
        <v>53</v>
      </c>
      <c r="J11" s="2" t="s">
        <v>26</v>
      </c>
      <c r="K11" s="2" t="s">
        <v>389</v>
      </c>
      <c r="L11" s="9">
        <v>51105.432477272305</v>
      </c>
      <c r="M11" s="9">
        <f>Tabela1[[#This Row],[Meta Hoje]]*Tabela1[[#This Row],[Reajuste]]</f>
        <v>61837.57329749949</v>
      </c>
      <c r="N11" s="17">
        <f>_xlfn.XLOOKUP(Tabela1[[#This Row],[Subprocesso]],Ajuste!A:A,Ajuste!B:B,0)</f>
        <v>1.21</v>
      </c>
    </row>
    <row r="12" spans="1:14" hidden="1" x14ac:dyDescent="0.25">
      <c r="A12" s="2" t="s">
        <v>54</v>
      </c>
      <c r="B12" s="2" t="s">
        <v>23</v>
      </c>
      <c r="C12" s="2" t="s">
        <v>15</v>
      </c>
      <c r="D12" s="2" t="s">
        <v>39</v>
      </c>
      <c r="E12" s="2" t="s">
        <v>40</v>
      </c>
      <c r="F12" s="2" t="s">
        <v>40</v>
      </c>
      <c r="G12" s="2" t="s">
        <v>18</v>
      </c>
      <c r="H12" s="3" t="s">
        <v>19</v>
      </c>
      <c r="I12" s="2" t="s">
        <v>55</v>
      </c>
      <c r="J12" s="2" t="s">
        <v>26</v>
      </c>
      <c r="K12" s="2" t="s">
        <v>389</v>
      </c>
      <c r="L12" s="9">
        <v>51105.432477272305</v>
      </c>
      <c r="M12" s="9">
        <f>Tabela1[[#This Row],[Meta Hoje]]*Tabela1[[#This Row],[Reajuste]]</f>
        <v>61837.57329749949</v>
      </c>
      <c r="N12" s="17">
        <f>_xlfn.XLOOKUP(Tabela1[[#This Row],[Subprocesso]],Ajuste!A:A,Ajuste!B:B,0)</f>
        <v>1.21</v>
      </c>
    </row>
    <row r="13" spans="1:14" hidden="1" x14ac:dyDescent="0.25">
      <c r="A13" s="2" t="s">
        <v>56</v>
      </c>
      <c r="B13" s="2" t="s">
        <v>35</v>
      </c>
      <c r="C13" s="2" t="s">
        <v>36</v>
      </c>
      <c r="D13" s="2" t="s">
        <v>47</v>
      </c>
      <c r="E13" s="2" t="s">
        <v>48</v>
      </c>
      <c r="F13" s="2" t="s">
        <v>48</v>
      </c>
      <c r="G13" s="2" t="s">
        <v>18</v>
      </c>
      <c r="H13" s="3" t="s">
        <v>19</v>
      </c>
      <c r="I13" s="2" t="s">
        <v>57</v>
      </c>
      <c r="J13" s="2" t="s">
        <v>26</v>
      </c>
      <c r="K13" s="2" t="s">
        <v>389</v>
      </c>
      <c r="L13" s="9">
        <v>39477.950268264001</v>
      </c>
      <c r="M13" s="9">
        <f>Tabela1[[#This Row],[Meta Hoje]]*Tabela1[[#This Row],[Reajuste]]</f>
        <v>71455.089985557846</v>
      </c>
      <c r="N13" s="17">
        <f>_xlfn.XLOOKUP(Tabela1[[#This Row],[Subprocesso]],Ajuste!A:A,Ajuste!B:B,0)</f>
        <v>1.81</v>
      </c>
    </row>
    <row r="14" spans="1:14" hidden="1" x14ac:dyDescent="0.25">
      <c r="A14" s="2" t="s">
        <v>58</v>
      </c>
      <c r="B14" s="2" t="s">
        <v>23</v>
      </c>
      <c r="C14" s="2" t="s">
        <v>15</v>
      </c>
      <c r="D14" s="2" t="s">
        <v>47</v>
      </c>
      <c r="E14" s="2" t="s">
        <v>48</v>
      </c>
      <c r="F14" s="2" t="s">
        <v>48</v>
      </c>
      <c r="G14" s="2" t="s">
        <v>18</v>
      </c>
      <c r="H14" s="3" t="s">
        <v>19</v>
      </c>
      <c r="I14" s="2" t="s">
        <v>59</v>
      </c>
      <c r="J14" s="2" t="s">
        <v>26</v>
      </c>
      <c r="K14" s="2" t="s">
        <v>389</v>
      </c>
      <c r="L14" s="9">
        <v>51105.432477272305</v>
      </c>
      <c r="M14" s="9">
        <f>Tabela1[[#This Row],[Meta Hoje]]*Tabela1[[#This Row],[Reajuste]]</f>
        <v>61837.57329749949</v>
      </c>
      <c r="N14" s="17">
        <f>_xlfn.XLOOKUP(Tabela1[[#This Row],[Subprocesso]],Ajuste!A:A,Ajuste!B:B,0)</f>
        <v>1.21</v>
      </c>
    </row>
    <row r="15" spans="1:14" hidden="1" x14ac:dyDescent="0.25">
      <c r="A15" s="2" t="s">
        <v>60</v>
      </c>
      <c r="B15" s="2" t="s">
        <v>23</v>
      </c>
      <c r="C15" s="2" t="s">
        <v>15</v>
      </c>
      <c r="D15" s="2" t="s">
        <v>39</v>
      </c>
      <c r="E15" s="2" t="s">
        <v>40</v>
      </c>
      <c r="F15" s="2" t="s">
        <v>40</v>
      </c>
      <c r="G15" s="2" t="s">
        <v>18</v>
      </c>
      <c r="H15" s="3" t="s">
        <v>19</v>
      </c>
      <c r="I15" s="2" t="s">
        <v>61</v>
      </c>
      <c r="J15" s="2" t="s">
        <v>26</v>
      </c>
      <c r="K15" s="2" t="s">
        <v>389</v>
      </c>
      <c r="L15" s="9">
        <v>51105.432477272305</v>
      </c>
      <c r="M15" s="9">
        <f>Tabela1[[#This Row],[Meta Hoje]]*Tabela1[[#This Row],[Reajuste]]</f>
        <v>61837.57329749949</v>
      </c>
      <c r="N15" s="17">
        <f>_xlfn.XLOOKUP(Tabela1[[#This Row],[Subprocesso]],Ajuste!A:A,Ajuste!B:B,0)</f>
        <v>1.21</v>
      </c>
    </row>
    <row r="16" spans="1:14" hidden="1" x14ac:dyDescent="0.25">
      <c r="A16" s="2" t="s">
        <v>62</v>
      </c>
      <c r="B16" s="2" t="s">
        <v>23</v>
      </c>
      <c r="C16" s="2" t="s">
        <v>15</v>
      </c>
      <c r="D16" s="2" t="s">
        <v>47</v>
      </c>
      <c r="E16" s="2" t="s">
        <v>48</v>
      </c>
      <c r="F16" s="2" t="s">
        <v>63</v>
      </c>
      <c r="G16" s="2" t="s">
        <v>18</v>
      </c>
      <c r="H16" s="3" t="s">
        <v>19</v>
      </c>
      <c r="I16" s="2" t="s">
        <v>64</v>
      </c>
      <c r="J16" s="2" t="s">
        <v>26</v>
      </c>
      <c r="K16" s="2" t="s">
        <v>389</v>
      </c>
      <c r="L16" s="9">
        <v>51105.432477272305</v>
      </c>
      <c r="M16" s="9">
        <f>Tabela1[[#This Row],[Meta Hoje]]*Tabela1[[#This Row],[Reajuste]]</f>
        <v>61837.57329749949</v>
      </c>
      <c r="N16" s="17">
        <f>_xlfn.XLOOKUP(Tabela1[[#This Row],[Subprocesso]],Ajuste!A:A,Ajuste!B:B,0)</f>
        <v>1.21</v>
      </c>
    </row>
    <row r="17" spans="1:14" hidden="1" x14ac:dyDescent="0.25">
      <c r="A17" s="2" t="s">
        <v>65</v>
      </c>
      <c r="B17" s="2" t="s">
        <v>23</v>
      </c>
      <c r="C17" s="2" t="s">
        <v>15</v>
      </c>
      <c r="D17" s="2" t="s">
        <v>39</v>
      </c>
      <c r="E17" s="2" t="s">
        <v>40</v>
      </c>
      <c r="F17" s="2" t="s">
        <v>40</v>
      </c>
      <c r="G17" s="2" t="s">
        <v>18</v>
      </c>
      <c r="H17" s="3" t="s">
        <v>19</v>
      </c>
      <c r="I17" s="2" t="s">
        <v>66</v>
      </c>
      <c r="J17" s="2" t="s">
        <v>26</v>
      </c>
      <c r="K17" s="2" t="s">
        <v>389</v>
      </c>
      <c r="L17" s="9">
        <v>51105.432477272305</v>
      </c>
      <c r="M17" s="9">
        <f>Tabela1[[#This Row],[Meta Hoje]]*Tabela1[[#This Row],[Reajuste]]</f>
        <v>61837.57329749949</v>
      </c>
      <c r="N17" s="17">
        <f>_xlfn.XLOOKUP(Tabela1[[#This Row],[Subprocesso]],Ajuste!A:A,Ajuste!B:B,0)</f>
        <v>1.21</v>
      </c>
    </row>
    <row r="18" spans="1:14" hidden="1" x14ac:dyDescent="0.25">
      <c r="A18" s="2" t="s">
        <v>67</v>
      </c>
      <c r="B18" s="2" t="s">
        <v>51</v>
      </c>
      <c r="C18" s="2" t="s">
        <v>15</v>
      </c>
      <c r="D18" s="2" t="s">
        <v>28</v>
      </c>
      <c r="E18" s="2" t="s">
        <v>29</v>
      </c>
      <c r="F18" s="2" t="s">
        <v>68</v>
      </c>
      <c r="G18" s="2" t="s">
        <v>18</v>
      </c>
      <c r="H18" s="3" t="s">
        <v>19</v>
      </c>
      <c r="I18" s="2" t="s">
        <v>69</v>
      </c>
      <c r="J18" s="2" t="s">
        <v>26</v>
      </c>
      <c r="K18" s="2" t="s">
        <v>389</v>
      </c>
      <c r="L18" s="9">
        <v>51105.432477272305</v>
      </c>
      <c r="M18" s="9">
        <f>Tabela1[[#This Row],[Meta Hoje]]*Tabela1[[#This Row],[Reajuste]]</f>
        <v>61837.57329749949</v>
      </c>
      <c r="N18" s="17">
        <f>_xlfn.XLOOKUP(Tabela1[[#This Row],[Subprocesso]],Ajuste!A:A,Ajuste!B:B,0)</f>
        <v>1.21</v>
      </c>
    </row>
    <row r="19" spans="1:14" hidden="1" x14ac:dyDescent="0.25">
      <c r="A19" s="2" t="s">
        <v>70</v>
      </c>
      <c r="B19" s="2" t="s">
        <v>51</v>
      </c>
      <c r="C19" s="2" t="s">
        <v>15</v>
      </c>
      <c r="D19" s="2" t="s">
        <v>28</v>
      </c>
      <c r="E19" s="2" t="s">
        <v>29</v>
      </c>
      <c r="F19" s="2" t="s">
        <v>30</v>
      </c>
      <c r="G19" s="2" t="s">
        <v>18</v>
      </c>
      <c r="H19" s="3" t="s">
        <v>19</v>
      </c>
      <c r="I19" s="2" t="s">
        <v>71</v>
      </c>
      <c r="J19" s="2" t="s">
        <v>26</v>
      </c>
      <c r="K19" s="2" t="s">
        <v>389</v>
      </c>
      <c r="L19" s="9">
        <v>51105.432477272305</v>
      </c>
      <c r="M19" s="9">
        <f>Tabela1[[#This Row],[Meta Hoje]]*Tabela1[[#This Row],[Reajuste]]</f>
        <v>61837.57329749949</v>
      </c>
      <c r="N19" s="17">
        <f>_xlfn.XLOOKUP(Tabela1[[#This Row],[Subprocesso]],Ajuste!A:A,Ajuste!B:B,0)</f>
        <v>1.21</v>
      </c>
    </row>
    <row r="20" spans="1:14" hidden="1" x14ac:dyDescent="0.25">
      <c r="A20" s="2" t="s">
        <v>72</v>
      </c>
      <c r="B20" s="2" t="s">
        <v>23</v>
      </c>
      <c r="C20" s="2" t="s">
        <v>15</v>
      </c>
      <c r="D20" s="2" t="s">
        <v>39</v>
      </c>
      <c r="E20" s="2" t="s">
        <v>40</v>
      </c>
      <c r="F20" s="2" t="s">
        <v>40</v>
      </c>
      <c r="G20" s="2" t="s">
        <v>18</v>
      </c>
      <c r="H20" s="3" t="s">
        <v>19</v>
      </c>
      <c r="I20" s="2" t="s">
        <v>73</v>
      </c>
      <c r="J20" s="2" t="s">
        <v>26</v>
      </c>
      <c r="K20" s="2" t="s">
        <v>389</v>
      </c>
      <c r="L20" s="9">
        <v>51105.432477272305</v>
      </c>
      <c r="M20" s="9">
        <f>Tabela1[[#This Row],[Meta Hoje]]*Tabela1[[#This Row],[Reajuste]]</f>
        <v>61837.57329749949</v>
      </c>
      <c r="N20" s="17">
        <f>_xlfn.XLOOKUP(Tabela1[[#This Row],[Subprocesso]],Ajuste!A:A,Ajuste!B:B,0)</f>
        <v>1.21</v>
      </c>
    </row>
    <row r="21" spans="1:14" hidden="1" x14ac:dyDescent="0.25">
      <c r="A21" s="2" t="s">
        <v>74</v>
      </c>
      <c r="B21" s="2" t="s">
        <v>23</v>
      </c>
      <c r="C21" s="2" t="s">
        <v>15</v>
      </c>
      <c r="D21" s="2" t="s">
        <v>47</v>
      </c>
      <c r="E21" s="2" t="s">
        <v>48</v>
      </c>
      <c r="F21" s="2" t="s">
        <v>48</v>
      </c>
      <c r="G21" s="2" t="s">
        <v>18</v>
      </c>
      <c r="H21" s="3" t="s">
        <v>19</v>
      </c>
      <c r="I21" s="2" t="s">
        <v>75</v>
      </c>
      <c r="J21" s="2" t="s">
        <v>26</v>
      </c>
      <c r="K21" s="2" t="s">
        <v>389</v>
      </c>
      <c r="L21" s="9">
        <v>51105.432477272305</v>
      </c>
      <c r="M21" s="9">
        <f>Tabela1[[#This Row],[Meta Hoje]]*Tabela1[[#This Row],[Reajuste]]</f>
        <v>61837.57329749949</v>
      </c>
      <c r="N21" s="17">
        <f>_xlfn.XLOOKUP(Tabela1[[#This Row],[Subprocesso]],Ajuste!A:A,Ajuste!B:B,0)</f>
        <v>1.21</v>
      </c>
    </row>
    <row r="22" spans="1:14" hidden="1" x14ac:dyDescent="0.25">
      <c r="A22" s="2" t="s">
        <v>76</v>
      </c>
      <c r="B22" s="2" t="s">
        <v>23</v>
      </c>
      <c r="C22" s="2" t="s">
        <v>15</v>
      </c>
      <c r="D22" s="2" t="s">
        <v>28</v>
      </c>
      <c r="E22" s="2" t="s">
        <v>29</v>
      </c>
      <c r="F22" s="2" t="s">
        <v>30</v>
      </c>
      <c r="G22" s="2" t="s">
        <v>18</v>
      </c>
      <c r="H22" s="3" t="s">
        <v>19</v>
      </c>
      <c r="I22" s="2" t="s">
        <v>77</v>
      </c>
      <c r="J22" s="2" t="s">
        <v>26</v>
      </c>
      <c r="K22" s="2" t="s">
        <v>389</v>
      </c>
      <c r="L22" s="9">
        <v>51105.432477272305</v>
      </c>
      <c r="M22" s="9">
        <f>Tabela1[[#This Row],[Meta Hoje]]*Tabela1[[#This Row],[Reajuste]]</f>
        <v>61837.57329749949</v>
      </c>
      <c r="N22" s="17">
        <f>_xlfn.XLOOKUP(Tabela1[[#This Row],[Subprocesso]],Ajuste!A:A,Ajuste!B:B,0)</f>
        <v>1.21</v>
      </c>
    </row>
    <row r="23" spans="1:14" hidden="1" x14ac:dyDescent="0.25">
      <c r="A23" s="2" t="s">
        <v>78</v>
      </c>
      <c r="B23" s="2" t="s">
        <v>23</v>
      </c>
      <c r="C23" s="2" t="s">
        <v>15</v>
      </c>
      <c r="D23" s="2" t="s">
        <v>24</v>
      </c>
      <c r="E23" s="2" t="s">
        <v>17</v>
      </c>
      <c r="F23" s="2" t="s">
        <v>17</v>
      </c>
      <c r="G23" s="2" t="s">
        <v>18</v>
      </c>
      <c r="H23" s="3" t="s">
        <v>19</v>
      </c>
      <c r="I23" s="2" t="s">
        <v>79</v>
      </c>
      <c r="J23" s="2" t="s">
        <v>26</v>
      </c>
      <c r="K23" s="2" t="s">
        <v>389</v>
      </c>
      <c r="L23" s="9">
        <v>51105.432477272305</v>
      </c>
      <c r="M23" s="9">
        <f>Tabela1[[#This Row],[Meta Hoje]]*Tabela1[[#This Row],[Reajuste]]</f>
        <v>61837.57329749949</v>
      </c>
      <c r="N23" s="17">
        <f>_xlfn.XLOOKUP(Tabela1[[#This Row],[Subprocesso]],Ajuste!A:A,Ajuste!B:B,0)</f>
        <v>1.21</v>
      </c>
    </row>
    <row r="24" spans="1:14" hidden="1" x14ac:dyDescent="0.25">
      <c r="A24" s="2" t="s">
        <v>80</v>
      </c>
      <c r="B24" s="2" t="s">
        <v>23</v>
      </c>
      <c r="C24" s="2" t="s">
        <v>15</v>
      </c>
      <c r="D24" s="2" t="s">
        <v>47</v>
      </c>
      <c r="E24" s="2" t="s">
        <v>48</v>
      </c>
      <c r="F24" s="2" t="s">
        <v>48</v>
      </c>
      <c r="G24" s="2" t="s">
        <v>18</v>
      </c>
      <c r="H24" s="3" t="s">
        <v>19</v>
      </c>
      <c r="I24" s="2" t="s">
        <v>81</v>
      </c>
      <c r="J24" s="2" t="s">
        <v>26</v>
      </c>
      <c r="K24" s="2" t="s">
        <v>389</v>
      </c>
      <c r="L24" s="9">
        <v>51105.432477272305</v>
      </c>
      <c r="M24" s="9">
        <f>Tabela1[[#This Row],[Meta Hoje]]*Tabela1[[#This Row],[Reajuste]]</f>
        <v>61837.57329749949</v>
      </c>
      <c r="N24" s="17">
        <f>_xlfn.XLOOKUP(Tabela1[[#This Row],[Subprocesso]],Ajuste!A:A,Ajuste!B:B,0)</f>
        <v>1.21</v>
      </c>
    </row>
    <row r="25" spans="1:14" hidden="1" x14ac:dyDescent="0.25">
      <c r="A25" s="2" t="s">
        <v>82</v>
      </c>
      <c r="B25" s="2" t="s">
        <v>23</v>
      </c>
      <c r="C25" s="2" t="s">
        <v>15</v>
      </c>
      <c r="D25" s="2" t="s">
        <v>47</v>
      </c>
      <c r="E25" s="2" t="s">
        <v>48</v>
      </c>
      <c r="F25" s="2" t="s">
        <v>48</v>
      </c>
      <c r="G25" s="2" t="s">
        <v>18</v>
      </c>
      <c r="H25" s="3" t="s">
        <v>19</v>
      </c>
      <c r="I25" s="2" t="s">
        <v>83</v>
      </c>
      <c r="J25" s="2" t="s">
        <v>26</v>
      </c>
      <c r="K25" s="2" t="s">
        <v>389</v>
      </c>
      <c r="L25" s="9">
        <v>51105.432477272305</v>
      </c>
      <c r="M25" s="9">
        <f>Tabela1[[#This Row],[Meta Hoje]]*Tabela1[[#This Row],[Reajuste]]</f>
        <v>61837.57329749949</v>
      </c>
      <c r="N25" s="17">
        <f>_xlfn.XLOOKUP(Tabela1[[#This Row],[Subprocesso]],Ajuste!A:A,Ajuste!B:B,0)</f>
        <v>1.21</v>
      </c>
    </row>
    <row r="26" spans="1:14" hidden="1" x14ac:dyDescent="0.25">
      <c r="A26" s="2" t="s">
        <v>84</v>
      </c>
      <c r="B26" s="2" t="s">
        <v>23</v>
      </c>
      <c r="C26" s="2" t="s">
        <v>15</v>
      </c>
      <c r="D26" s="2" t="s">
        <v>24</v>
      </c>
      <c r="E26" s="2" t="s">
        <v>17</v>
      </c>
      <c r="F26" s="2" t="s">
        <v>52</v>
      </c>
      <c r="G26" s="2" t="s">
        <v>18</v>
      </c>
      <c r="H26" s="3" t="s">
        <v>19</v>
      </c>
      <c r="I26" s="2" t="s">
        <v>85</v>
      </c>
      <c r="J26" s="2" t="s">
        <v>26</v>
      </c>
      <c r="K26" s="2" t="s">
        <v>389</v>
      </c>
      <c r="L26" s="9">
        <v>51105.432477272305</v>
      </c>
      <c r="M26" s="9">
        <f>Tabela1[[#This Row],[Meta Hoje]]*Tabela1[[#This Row],[Reajuste]]</f>
        <v>61837.57329749949</v>
      </c>
      <c r="N26" s="17">
        <f>_xlfn.XLOOKUP(Tabela1[[#This Row],[Subprocesso]],Ajuste!A:A,Ajuste!B:B,0)</f>
        <v>1.21</v>
      </c>
    </row>
    <row r="27" spans="1:14" hidden="1" x14ac:dyDescent="0.25">
      <c r="A27" s="2" t="s">
        <v>86</v>
      </c>
      <c r="B27" s="2" t="s">
        <v>23</v>
      </c>
      <c r="C27" s="2" t="s">
        <v>15</v>
      </c>
      <c r="D27" s="2" t="s">
        <v>47</v>
      </c>
      <c r="E27" s="2" t="s">
        <v>48</v>
      </c>
      <c r="F27" s="2" t="s">
        <v>63</v>
      </c>
      <c r="G27" s="2" t="s">
        <v>18</v>
      </c>
      <c r="H27" s="3" t="s">
        <v>19</v>
      </c>
      <c r="I27" s="2" t="s">
        <v>87</v>
      </c>
      <c r="J27" s="2" t="s">
        <v>26</v>
      </c>
      <c r="K27" s="2" t="s">
        <v>389</v>
      </c>
      <c r="L27" s="9">
        <v>51105.432477272305</v>
      </c>
      <c r="M27" s="9">
        <f>Tabela1[[#This Row],[Meta Hoje]]*Tabela1[[#This Row],[Reajuste]]</f>
        <v>61837.57329749949</v>
      </c>
      <c r="N27" s="17">
        <f>_xlfn.XLOOKUP(Tabela1[[#This Row],[Subprocesso]],Ajuste!A:A,Ajuste!B:B,0)</f>
        <v>1.21</v>
      </c>
    </row>
    <row r="28" spans="1:14" hidden="1" x14ac:dyDescent="0.25">
      <c r="A28" s="2" t="s">
        <v>88</v>
      </c>
      <c r="B28" s="2" t="s">
        <v>23</v>
      </c>
      <c r="C28" s="2" t="s">
        <v>15</v>
      </c>
      <c r="D28" s="2" t="s">
        <v>24</v>
      </c>
      <c r="E28" s="2" t="s">
        <v>17</v>
      </c>
      <c r="F28" s="2" t="s">
        <v>17</v>
      </c>
      <c r="G28" s="2" t="s">
        <v>18</v>
      </c>
      <c r="H28" s="3" t="s">
        <v>19</v>
      </c>
      <c r="I28" s="2" t="s">
        <v>89</v>
      </c>
      <c r="J28" s="2" t="s">
        <v>26</v>
      </c>
      <c r="K28" s="2" t="s">
        <v>389</v>
      </c>
      <c r="L28" s="9">
        <v>51105.432477272305</v>
      </c>
      <c r="M28" s="9">
        <f>Tabela1[[#This Row],[Meta Hoje]]*Tabela1[[#This Row],[Reajuste]]</f>
        <v>61837.57329749949</v>
      </c>
      <c r="N28" s="17">
        <f>_xlfn.XLOOKUP(Tabela1[[#This Row],[Subprocesso]],Ajuste!A:A,Ajuste!B:B,0)</f>
        <v>1.21</v>
      </c>
    </row>
    <row r="29" spans="1:14" hidden="1" x14ac:dyDescent="0.25">
      <c r="A29" s="2" t="s">
        <v>90</v>
      </c>
      <c r="B29" s="2" t="s">
        <v>23</v>
      </c>
      <c r="C29" s="2" t="s">
        <v>15</v>
      </c>
      <c r="D29" s="2" t="s">
        <v>47</v>
      </c>
      <c r="E29" s="2" t="s">
        <v>48</v>
      </c>
      <c r="F29" s="2" t="s">
        <v>48</v>
      </c>
      <c r="G29" s="2" t="s">
        <v>18</v>
      </c>
      <c r="H29" s="3" t="s">
        <v>19</v>
      </c>
      <c r="I29" s="2" t="s">
        <v>91</v>
      </c>
      <c r="J29" s="2" t="s">
        <v>26</v>
      </c>
      <c r="K29" s="2" t="s">
        <v>389</v>
      </c>
      <c r="L29" s="9">
        <v>51105.432477272305</v>
      </c>
      <c r="M29" s="9">
        <f>Tabela1[[#This Row],[Meta Hoje]]*Tabela1[[#This Row],[Reajuste]]</f>
        <v>61837.57329749949</v>
      </c>
      <c r="N29" s="17">
        <f>_xlfn.XLOOKUP(Tabela1[[#This Row],[Subprocesso]],Ajuste!A:A,Ajuste!B:B,0)</f>
        <v>1.21</v>
      </c>
    </row>
    <row r="30" spans="1:14" hidden="1" x14ac:dyDescent="0.25">
      <c r="A30" s="2" t="s">
        <v>92</v>
      </c>
      <c r="B30" s="2" t="s">
        <v>23</v>
      </c>
      <c r="C30" s="2" t="s">
        <v>15</v>
      </c>
      <c r="D30" s="2" t="s">
        <v>24</v>
      </c>
      <c r="E30" s="2" t="s">
        <v>17</v>
      </c>
      <c r="F30" s="2" t="s">
        <v>17</v>
      </c>
      <c r="G30" s="2" t="s">
        <v>18</v>
      </c>
      <c r="H30" s="3" t="s">
        <v>19</v>
      </c>
      <c r="I30" s="2" t="s">
        <v>93</v>
      </c>
      <c r="J30" s="2" t="s">
        <v>26</v>
      </c>
      <c r="K30" s="2" t="s">
        <v>389</v>
      </c>
      <c r="L30" s="9">
        <v>51105.432477272305</v>
      </c>
      <c r="M30" s="9">
        <f>Tabela1[[#This Row],[Meta Hoje]]*Tabela1[[#This Row],[Reajuste]]</f>
        <v>61837.57329749949</v>
      </c>
      <c r="N30" s="17">
        <f>_xlfn.XLOOKUP(Tabela1[[#This Row],[Subprocesso]],Ajuste!A:A,Ajuste!B:B,0)</f>
        <v>1.21</v>
      </c>
    </row>
    <row r="31" spans="1:14" hidden="1" x14ac:dyDescent="0.25">
      <c r="A31" s="2" t="s">
        <v>94</v>
      </c>
      <c r="B31" s="2" t="s">
        <v>23</v>
      </c>
      <c r="C31" s="2" t="s">
        <v>15</v>
      </c>
      <c r="D31" s="2" t="s">
        <v>28</v>
      </c>
      <c r="E31" s="2" t="s">
        <v>29</v>
      </c>
      <c r="F31" s="2" t="s">
        <v>30</v>
      </c>
      <c r="G31" s="2" t="s">
        <v>18</v>
      </c>
      <c r="H31" s="3" t="s">
        <v>19</v>
      </c>
      <c r="I31" s="2" t="s">
        <v>95</v>
      </c>
      <c r="J31" s="2" t="s">
        <v>26</v>
      </c>
      <c r="K31" s="2" t="s">
        <v>389</v>
      </c>
      <c r="L31" s="9">
        <v>51105.432477272305</v>
      </c>
      <c r="M31" s="9">
        <f>Tabela1[[#This Row],[Meta Hoje]]*Tabela1[[#This Row],[Reajuste]]</f>
        <v>61837.57329749949</v>
      </c>
      <c r="N31" s="17">
        <f>_xlfn.XLOOKUP(Tabela1[[#This Row],[Subprocesso]],Ajuste!A:A,Ajuste!B:B,0)</f>
        <v>1.21</v>
      </c>
    </row>
    <row r="32" spans="1:14" hidden="1" x14ac:dyDescent="0.25">
      <c r="A32" s="2" t="s">
        <v>96</v>
      </c>
      <c r="B32" s="2" t="s">
        <v>51</v>
      </c>
      <c r="C32" s="2" t="s">
        <v>15</v>
      </c>
      <c r="D32" s="2" t="s">
        <v>47</v>
      </c>
      <c r="E32" s="2" t="s">
        <v>48</v>
      </c>
      <c r="F32" s="2" t="s">
        <v>48</v>
      </c>
      <c r="G32" s="2" t="s">
        <v>18</v>
      </c>
      <c r="H32" s="3" t="s">
        <v>19</v>
      </c>
      <c r="I32" s="2" t="s">
        <v>97</v>
      </c>
      <c r="J32" s="2" t="s">
        <v>26</v>
      </c>
      <c r="K32" s="2" t="s">
        <v>389</v>
      </c>
      <c r="L32" s="9">
        <v>51105.432477272305</v>
      </c>
      <c r="M32" s="9">
        <f>Tabela1[[#This Row],[Meta Hoje]]*Tabela1[[#This Row],[Reajuste]]</f>
        <v>61837.57329749949</v>
      </c>
      <c r="N32" s="17">
        <f>_xlfn.XLOOKUP(Tabela1[[#This Row],[Subprocesso]],Ajuste!A:A,Ajuste!B:B,0)</f>
        <v>1.21</v>
      </c>
    </row>
    <row r="33" spans="1:14" hidden="1" x14ac:dyDescent="0.25">
      <c r="A33" s="2" t="s">
        <v>98</v>
      </c>
      <c r="B33" s="2" t="s">
        <v>35</v>
      </c>
      <c r="C33" s="2" t="s">
        <v>36</v>
      </c>
      <c r="D33" s="2" t="s">
        <v>28</v>
      </c>
      <c r="E33" s="2" t="s">
        <v>29</v>
      </c>
      <c r="F33" s="2" t="s">
        <v>29</v>
      </c>
      <c r="G33" s="2" t="s">
        <v>18</v>
      </c>
      <c r="H33" s="3" t="s">
        <v>19</v>
      </c>
      <c r="I33" s="2" t="s">
        <v>99</v>
      </c>
      <c r="J33" s="2" t="s">
        <v>26</v>
      </c>
      <c r="K33" s="2" t="s">
        <v>389</v>
      </c>
      <c r="L33" s="9">
        <v>39477.950268264001</v>
      </c>
      <c r="M33" s="9">
        <f>Tabela1[[#This Row],[Meta Hoje]]*Tabela1[[#This Row],[Reajuste]]</f>
        <v>71455.089985557846</v>
      </c>
      <c r="N33" s="17">
        <f>_xlfn.XLOOKUP(Tabela1[[#This Row],[Subprocesso]],Ajuste!A:A,Ajuste!B:B,0)</f>
        <v>1.81</v>
      </c>
    </row>
    <row r="34" spans="1:14" hidden="1" x14ac:dyDescent="0.25">
      <c r="A34" s="2" t="s">
        <v>100</v>
      </c>
      <c r="B34" s="2" t="s">
        <v>35</v>
      </c>
      <c r="C34" s="2" t="s">
        <v>36</v>
      </c>
      <c r="D34" s="2" t="s">
        <v>24</v>
      </c>
      <c r="E34" s="2" t="s">
        <v>17</v>
      </c>
      <c r="F34" s="2" t="s">
        <v>17</v>
      </c>
      <c r="G34" s="2" t="s">
        <v>18</v>
      </c>
      <c r="H34" s="3" t="s">
        <v>19</v>
      </c>
      <c r="I34" s="2" t="s">
        <v>101</v>
      </c>
      <c r="J34" s="2" t="s">
        <v>26</v>
      </c>
      <c r="K34" s="2" t="s">
        <v>389</v>
      </c>
      <c r="L34" s="9">
        <v>39477.950268264001</v>
      </c>
      <c r="M34" s="9">
        <f>Tabela1[[#This Row],[Meta Hoje]]*Tabela1[[#This Row],[Reajuste]]</f>
        <v>71455.089985557846</v>
      </c>
      <c r="N34" s="17">
        <f>_xlfn.XLOOKUP(Tabela1[[#This Row],[Subprocesso]],Ajuste!A:A,Ajuste!B:B,0)</f>
        <v>1.81</v>
      </c>
    </row>
    <row r="35" spans="1:14" hidden="1" x14ac:dyDescent="0.25">
      <c r="A35" s="2" t="s">
        <v>102</v>
      </c>
      <c r="B35" s="2" t="s">
        <v>23</v>
      </c>
      <c r="C35" s="2" t="s">
        <v>15</v>
      </c>
      <c r="D35" s="2" t="s">
        <v>28</v>
      </c>
      <c r="E35" s="2" t="s">
        <v>29</v>
      </c>
      <c r="F35" s="2" t="s">
        <v>30</v>
      </c>
      <c r="G35" s="2" t="s">
        <v>18</v>
      </c>
      <c r="H35" s="3" t="s">
        <v>19</v>
      </c>
      <c r="I35" s="78" t="s">
        <v>103</v>
      </c>
      <c r="J35" s="2" t="s">
        <v>26</v>
      </c>
      <c r="K35" s="2" t="s">
        <v>389</v>
      </c>
      <c r="L35" s="9">
        <v>51105.432477272305</v>
      </c>
      <c r="M35" s="9">
        <f>Tabela1[[#This Row],[Meta Hoje]]*Tabela1[[#This Row],[Reajuste]]</f>
        <v>61837.57329749949</v>
      </c>
      <c r="N35" s="17">
        <f>_xlfn.XLOOKUP(Tabela1[[#This Row],[Subprocesso]],Ajuste!A:A,Ajuste!B:B,0)</f>
        <v>1.21</v>
      </c>
    </row>
    <row r="36" spans="1:14" hidden="1" x14ac:dyDescent="0.25">
      <c r="A36" s="2" t="s">
        <v>104</v>
      </c>
      <c r="B36" s="2" t="s">
        <v>105</v>
      </c>
      <c r="C36" s="2" t="s">
        <v>104</v>
      </c>
      <c r="D36" s="2" t="s">
        <v>24</v>
      </c>
      <c r="E36" s="2" t="s">
        <v>17</v>
      </c>
      <c r="F36" s="2" t="s">
        <v>17</v>
      </c>
      <c r="G36" s="2" t="s">
        <v>18</v>
      </c>
      <c r="H36" s="3" t="s">
        <v>19</v>
      </c>
      <c r="I36" s="2" t="s">
        <v>106</v>
      </c>
      <c r="J36" s="2" t="s">
        <v>26</v>
      </c>
      <c r="K36" s="2" t="s">
        <v>389</v>
      </c>
      <c r="L36" s="9">
        <v>77815.923615753156</v>
      </c>
      <c r="M36" s="9">
        <f>Tabela1[[#This Row],[Meta Hoje]]*Tabela1[[#This Row],[Reajuste]]</f>
        <v>99604.382228164046</v>
      </c>
      <c r="N36" s="17">
        <f>_xlfn.XLOOKUP(Tabela1[[#This Row],[Subprocesso]],Ajuste!A:A,Ajuste!B:B,0)</f>
        <v>1.28</v>
      </c>
    </row>
    <row r="37" spans="1:14" x14ac:dyDescent="0.25">
      <c r="A37" s="2" t="s">
        <v>107</v>
      </c>
      <c r="B37" s="2" t="s">
        <v>108</v>
      </c>
      <c r="C37" s="2" t="s">
        <v>109</v>
      </c>
      <c r="D37" s="2" t="s">
        <v>110</v>
      </c>
      <c r="E37" s="2" t="s">
        <v>48</v>
      </c>
      <c r="F37" s="2" t="s">
        <v>111</v>
      </c>
      <c r="G37" s="2" t="s">
        <v>18</v>
      </c>
      <c r="H37" s="3">
        <v>46327</v>
      </c>
      <c r="I37" s="2" t="s">
        <v>112</v>
      </c>
      <c r="J37" s="2" t="s">
        <v>26</v>
      </c>
      <c r="K37" s="2" t="s">
        <v>387</v>
      </c>
      <c r="L37" s="9">
        <v>75054.508245109726</v>
      </c>
      <c r="M37" s="9">
        <f>Tabela1[[#This Row],[Meta Hoje]]*Tabela1[[#This Row],[Reajuste]]</f>
        <v>96820.315636191546</v>
      </c>
      <c r="N37" s="17">
        <f>_xlfn.XLOOKUP(Tabela1[[#This Row],[Subprocesso]],Ajuste!A:A,Ajuste!B:B,0)</f>
        <v>1.29</v>
      </c>
    </row>
    <row r="38" spans="1:14" hidden="1" x14ac:dyDescent="0.25">
      <c r="A38" s="2" t="s">
        <v>113</v>
      </c>
      <c r="B38" s="2" t="s">
        <v>108</v>
      </c>
      <c r="C38" s="2" t="s">
        <v>109</v>
      </c>
      <c r="D38" s="2" t="s">
        <v>114</v>
      </c>
      <c r="E38" s="2" t="s">
        <v>29</v>
      </c>
      <c r="F38" s="2" t="s">
        <v>30</v>
      </c>
      <c r="G38" s="2" t="s">
        <v>18</v>
      </c>
      <c r="H38" s="3" t="s">
        <v>19</v>
      </c>
      <c r="I38" s="2" t="s">
        <v>115</v>
      </c>
      <c r="J38" s="2" t="s">
        <v>116</v>
      </c>
      <c r="K38" s="2" t="s">
        <v>388</v>
      </c>
      <c r="L38" s="9">
        <v>75054.508245109726</v>
      </c>
      <c r="M38" s="9">
        <f>Tabela1[[#This Row],[Meta Hoje]]*Tabela1[[#This Row],[Reajuste]]</f>
        <v>96820.315636191546</v>
      </c>
      <c r="N38" s="17">
        <f>_xlfn.XLOOKUP(Tabela1[[#This Row],[Subprocesso]],Ajuste!A:A,Ajuste!B:B,0)</f>
        <v>1.29</v>
      </c>
    </row>
    <row r="39" spans="1:14" x14ac:dyDescent="0.25">
      <c r="A39" s="2" t="s">
        <v>117</v>
      </c>
      <c r="B39" s="2" t="s">
        <v>108</v>
      </c>
      <c r="C39" s="2" t="s">
        <v>109</v>
      </c>
      <c r="D39" s="2" t="s">
        <v>114</v>
      </c>
      <c r="E39" s="2" t="s">
        <v>29</v>
      </c>
      <c r="F39" s="2" t="s">
        <v>30</v>
      </c>
      <c r="G39" s="2" t="s">
        <v>18</v>
      </c>
      <c r="H39" s="3">
        <v>46296</v>
      </c>
      <c r="I39" s="2" t="s">
        <v>115</v>
      </c>
      <c r="J39" s="2" t="s">
        <v>116</v>
      </c>
      <c r="K39" s="2" t="s">
        <v>387</v>
      </c>
      <c r="L39" s="9">
        <v>75054.508245109726</v>
      </c>
      <c r="M39" s="9">
        <f>Tabela1[[#This Row],[Meta Hoje]]*Tabela1[[#This Row],[Reajuste]]</f>
        <v>96820.315636191546</v>
      </c>
      <c r="N39" s="17">
        <f>_xlfn.XLOOKUP(Tabela1[[#This Row],[Subprocesso]],Ajuste!A:A,Ajuste!B:B,0)</f>
        <v>1.29</v>
      </c>
    </row>
    <row r="40" spans="1:14" x14ac:dyDescent="0.25">
      <c r="A40" s="73" t="s">
        <v>118</v>
      </c>
      <c r="B40" s="73" t="s">
        <v>108</v>
      </c>
      <c r="C40" s="73" t="s">
        <v>109</v>
      </c>
      <c r="D40" s="73" t="s">
        <v>110</v>
      </c>
      <c r="E40" s="73" t="s">
        <v>48</v>
      </c>
      <c r="F40" s="73" t="s">
        <v>119</v>
      </c>
      <c r="G40" s="73" t="s">
        <v>18</v>
      </c>
      <c r="H40" s="74">
        <v>46327</v>
      </c>
      <c r="I40" s="73" t="s">
        <v>120</v>
      </c>
      <c r="J40" s="73" t="s">
        <v>116</v>
      </c>
      <c r="K40" s="73" t="s">
        <v>387</v>
      </c>
      <c r="L40" s="75">
        <v>75054.508245109726</v>
      </c>
      <c r="M40" s="75">
        <f>Tabela1[[#This Row],[Meta Hoje]]*Tabela1[[#This Row],[Reajuste]]</f>
        <v>96820.315636191546</v>
      </c>
      <c r="N40" s="76">
        <f>_xlfn.XLOOKUP(Tabela1[[#This Row],[Subprocesso]],Ajuste!A:A,Ajuste!B:B,0)</f>
        <v>1.29</v>
      </c>
    </row>
    <row r="41" spans="1:14" x14ac:dyDescent="0.25">
      <c r="A41" s="73" t="s">
        <v>121</v>
      </c>
      <c r="B41" s="73" t="s">
        <v>108</v>
      </c>
      <c r="C41" s="73" t="s">
        <v>109</v>
      </c>
      <c r="D41" s="73" t="s">
        <v>110</v>
      </c>
      <c r="E41" s="73" t="s">
        <v>48</v>
      </c>
      <c r="F41" s="73" t="s">
        <v>119</v>
      </c>
      <c r="G41" s="73" t="s">
        <v>18</v>
      </c>
      <c r="H41" s="74">
        <v>46327</v>
      </c>
      <c r="I41" s="73" t="s">
        <v>120</v>
      </c>
      <c r="J41" s="73" t="s">
        <v>116</v>
      </c>
      <c r="K41" s="73" t="s">
        <v>388</v>
      </c>
      <c r="L41" s="75">
        <v>75054.508245109726</v>
      </c>
      <c r="M41" s="75">
        <f>Tabela1[[#This Row],[Meta Hoje]]*Tabela1[[#This Row],[Reajuste]]</f>
        <v>96820.315636191546</v>
      </c>
      <c r="N41" s="76">
        <f>_xlfn.XLOOKUP(Tabela1[[#This Row],[Subprocesso]],Ajuste!A:A,Ajuste!B:B,0)</f>
        <v>1.29</v>
      </c>
    </row>
    <row r="42" spans="1:14" x14ac:dyDescent="0.25">
      <c r="A42" s="2" t="s">
        <v>122</v>
      </c>
      <c r="B42" s="2" t="s">
        <v>123</v>
      </c>
      <c r="C42" s="2" t="s">
        <v>109</v>
      </c>
      <c r="D42" s="2" t="s">
        <v>114</v>
      </c>
      <c r="E42" s="2" t="s">
        <v>29</v>
      </c>
      <c r="F42" s="2" t="s">
        <v>29</v>
      </c>
      <c r="G42" s="2" t="s">
        <v>18</v>
      </c>
      <c r="H42" s="3">
        <v>46296</v>
      </c>
      <c r="I42" s="2" t="s">
        <v>124</v>
      </c>
      <c r="J42" s="2" t="s">
        <v>116</v>
      </c>
      <c r="K42" s="2" t="s">
        <v>389</v>
      </c>
      <c r="L42" s="9">
        <v>50702.295686011101</v>
      </c>
      <c r="M42" s="9">
        <f>Tabela1[[#This Row],[Meta Hoje]]*Tabela1[[#This Row],[Reajuste]]</f>
        <v>65405.961434954319</v>
      </c>
      <c r="N42" s="17">
        <f>_xlfn.XLOOKUP(Tabela1[[#This Row],[Subprocesso]],Ajuste!A:A,Ajuste!B:B,0)</f>
        <v>1.29</v>
      </c>
    </row>
    <row r="43" spans="1:14" x14ac:dyDescent="0.25">
      <c r="A43" s="2" t="s">
        <v>125</v>
      </c>
      <c r="B43" s="2" t="s">
        <v>108</v>
      </c>
      <c r="C43" s="2" t="s">
        <v>109</v>
      </c>
      <c r="D43" s="2" t="s">
        <v>39</v>
      </c>
      <c r="E43" s="2" t="s">
        <v>40</v>
      </c>
      <c r="F43" s="2" t="s">
        <v>40</v>
      </c>
      <c r="G43" s="2" t="s">
        <v>18</v>
      </c>
      <c r="H43" s="3">
        <v>46357</v>
      </c>
      <c r="I43" s="2" t="s">
        <v>126</v>
      </c>
      <c r="J43" s="2" t="s">
        <v>116</v>
      </c>
      <c r="K43" s="2" t="s">
        <v>387</v>
      </c>
      <c r="L43" s="9">
        <v>75054.508245109726</v>
      </c>
      <c r="M43" s="9">
        <f>Tabela1[[#This Row],[Meta Hoje]]*Tabela1[[#This Row],[Reajuste]]</f>
        <v>96820.315636191546</v>
      </c>
      <c r="N43" s="17">
        <f>_xlfn.XLOOKUP(Tabela1[[#This Row],[Subprocesso]],Ajuste!A:A,Ajuste!B:B,0)</f>
        <v>1.29</v>
      </c>
    </row>
    <row r="44" spans="1:14" x14ac:dyDescent="0.25">
      <c r="A44" s="2" t="s">
        <v>127</v>
      </c>
      <c r="B44" s="2" t="s">
        <v>108</v>
      </c>
      <c r="C44" s="2" t="s">
        <v>109</v>
      </c>
      <c r="D44" s="2" t="s">
        <v>128</v>
      </c>
      <c r="E44" s="2" t="s">
        <v>17</v>
      </c>
      <c r="F44" s="2" t="s">
        <v>17</v>
      </c>
      <c r="G44" s="2" t="s">
        <v>129</v>
      </c>
      <c r="H44" s="3">
        <v>46237</v>
      </c>
      <c r="I44" s="78" t="s">
        <v>361</v>
      </c>
      <c r="J44" s="2" t="s">
        <v>129</v>
      </c>
      <c r="K44" s="2" t="s">
        <v>389</v>
      </c>
      <c r="L44" s="9">
        <v>50702.295686011101</v>
      </c>
      <c r="M44" s="9">
        <f>Tabela1[[#This Row],[Meta Hoje]]*Tabela1[[#This Row],[Reajuste]]</f>
        <v>65405.961434954319</v>
      </c>
      <c r="N44" s="17">
        <f>_xlfn.XLOOKUP(Tabela1[[#This Row],[Subprocesso]],Ajuste!A:A,Ajuste!B:B,0)</f>
        <v>1.29</v>
      </c>
    </row>
    <row r="45" spans="1:14" x14ac:dyDescent="0.25">
      <c r="A45" s="2" t="s">
        <v>131</v>
      </c>
      <c r="B45" s="2" t="s">
        <v>108</v>
      </c>
      <c r="C45" s="2" t="s">
        <v>109</v>
      </c>
      <c r="D45" s="2" t="s">
        <v>110</v>
      </c>
      <c r="E45" s="2" t="s">
        <v>48</v>
      </c>
      <c r="F45" s="2" t="s">
        <v>48</v>
      </c>
      <c r="G45" s="2" t="s">
        <v>18</v>
      </c>
      <c r="H45" s="3">
        <v>46327</v>
      </c>
      <c r="I45" s="2" t="s">
        <v>132</v>
      </c>
      <c r="J45" s="3" t="s">
        <v>116</v>
      </c>
      <c r="K45" s="2" t="s">
        <v>387</v>
      </c>
      <c r="L45" s="9">
        <v>75054.508245109726</v>
      </c>
      <c r="M45" s="9">
        <f>Tabela1[[#This Row],[Meta Hoje]]*Tabela1[[#This Row],[Reajuste]]</f>
        <v>96820.315636191546</v>
      </c>
      <c r="N45" s="17">
        <f>_xlfn.XLOOKUP(Tabela1[[#This Row],[Subprocesso]],Ajuste!A:A,Ajuste!B:B,0)</f>
        <v>1.29</v>
      </c>
    </row>
    <row r="46" spans="1:14" x14ac:dyDescent="0.25">
      <c r="A46" s="2" t="s">
        <v>133</v>
      </c>
      <c r="B46" s="2" t="s">
        <v>108</v>
      </c>
      <c r="C46" s="2" t="s">
        <v>109</v>
      </c>
      <c r="D46" s="2" t="s">
        <v>110</v>
      </c>
      <c r="E46" s="2" t="s">
        <v>48</v>
      </c>
      <c r="F46" s="2" t="s">
        <v>48</v>
      </c>
      <c r="G46" s="2" t="s">
        <v>18</v>
      </c>
      <c r="H46" s="3">
        <v>46327</v>
      </c>
      <c r="I46" s="2" t="s">
        <v>132</v>
      </c>
      <c r="J46" s="2" t="s">
        <v>116</v>
      </c>
      <c r="K46" s="2" t="s">
        <v>388</v>
      </c>
      <c r="L46" s="9">
        <v>75054.508245109726</v>
      </c>
      <c r="M46" s="9">
        <f>Tabela1[[#This Row],[Meta Hoje]]*Tabela1[[#This Row],[Reajuste]]</f>
        <v>96820.315636191546</v>
      </c>
      <c r="N46" s="17">
        <f>_xlfn.XLOOKUP(Tabela1[[#This Row],[Subprocesso]],Ajuste!A:A,Ajuste!B:B,0)</f>
        <v>1.29</v>
      </c>
    </row>
    <row r="47" spans="1:14" x14ac:dyDescent="0.25">
      <c r="A47" s="2" t="s">
        <v>134</v>
      </c>
      <c r="B47" s="2" t="s">
        <v>108</v>
      </c>
      <c r="C47" s="2" t="s">
        <v>109</v>
      </c>
      <c r="D47" s="2" t="s">
        <v>39</v>
      </c>
      <c r="E47" s="2" t="s">
        <v>40</v>
      </c>
      <c r="F47" s="2" t="s">
        <v>40</v>
      </c>
      <c r="G47" s="2" t="s">
        <v>18</v>
      </c>
      <c r="H47" s="3">
        <v>46357</v>
      </c>
      <c r="I47" s="2" t="s">
        <v>135</v>
      </c>
      <c r="J47" s="2" t="s">
        <v>116</v>
      </c>
      <c r="K47" s="2" t="s">
        <v>389</v>
      </c>
      <c r="L47" s="9">
        <v>75054.508245109726</v>
      </c>
      <c r="M47" s="9">
        <f>Tabela1[[#This Row],[Meta Hoje]]*Tabela1[[#This Row],[Reajuste]]</f>
        <v>96820.315636191546</v>
      </c>
      <c r="N47" s="17">
        <f>_xlfn.XLOOKUP(Tabela1[[#This Row],[Subprocesso]],Ajuste!A:A,Ajuste!B:B,0)</f>
        <v>1.29</v>
      </c>
    </row>
    <row r="48" spans="1:14" hidden="1" x14ac:dyDescent="0.25">
      <c r="A48" s="2" t="s">
        <v>136</v>
      </c>
      <c r="B48" s="2" t="s">
        <v>108</v>
      </c>
      <c r="C48" s="2" t="s">
        <v>109</v>
      </c>
      <c r="D48" s="2" t="s">
        <v>39</v>
      </c>
      <c r="E48" s="2" t="s">
        <v>40</v>
      </c>
      <c r="F48" s="2" t="s">
        <v>40</v>
      </c>
      <c r="G48" s="2" t="s">
        <v>18</v>
      </c>
      <c r="H48" s="3" t="s">
        <v>19</v>
      </c>
      <c r="I48" s="2" t="s">
        <v>137</v>
      </c>
      <c r="J48" s="2" t="s">
        <v>26</v>
      </c>
      <c r="K48" s="2" t="s">
        <v>389</v>
      </c>
      <c r="L48" s="9">
        <v>75054.508245109726</v>
      </c>
      <c r="M48" s="9">
        <f>Tabela1[[#This Row],[Meta Hoje]]*Tabela1[[#This Row],[Reajuste]]</f>
        <v>96820.315636191546</v>
      </c>
      <c r="N48" s="17">
        <f>_xlfn.XLOOKUP(Tabela1[[#This Row],[Subprocesso]],Ajuste!A:A,Ajuste!B:B,0)</f>
        <v>1.29</v>
      </c>
    </row>
    <row r="49" spans="1:14" x14ac:dyDescent="0.25">
      <c r="A49" s="2" t="s">
        <v>138</v>
      </c>
      <c r="B49" s="2" t="s">
        <v>108</v>
      </c>
      <c r="C49" s="2" t="s">
        <v>109</v>
      </c>
      <c r="D49" s="2" t="s">
        <v>110</v>
      </c>
      <c r="E49" s="2" t="s">
        <v>48</v>
      </c>
      <c r="F49" s="2" t="s">
        <v>48</v>
      </c>
      <c r="G49" s="2" t="s">
        <v>18</v>
      </c>
      <c r="H49" s="3">
        <v>46327</v>
      </c>
      <c r="I49" s="2" t="s">
        <v>139</v>
      </c>
      <c r="J49" s="2" t="s">
        <v>116</v>
      </c>
      <c r="K49" s="2" t="s">
        <v>387</v>
      </c>
      <c r="L49" s="9">
        <v>75054.508245109726</v>
      </c>
      <c r="M49" s="9">
        <f>Tabela1[[#This Row],[Meta Hoje]]*Tabela1[[#This Row],[Reajuste]]</f>
        <v>96820.315636191546</v>
      </c>
      <c r="N49" s="17">
        <f>_xlfn.XLOOKUP(Tabela1[[#This Row],[Subprocesso]],Ajuste!A:A,Ajuste!B:B,0)</f>
        <v>1.29</v>
      </c>
    </row>
    <row r="50" spans="1:14" hidden="1" x14ac:dyDescent="0.25">
      <c r="A50" s="2" t="s">
        <v>140</v>
      </c>
      <c r="B50" s="2" t="s">
        <v>123</v>
      </c>
      <c r="C50" s="2" t="s">
        <v>109</v>
      </c>
      <c r="D50" s="2" t="s">
        <v>110</v>
      </c>
      <c r="E50" s="2" t="s">
        <v>48</v>
      </c>
      <c r="F50" s="2" t="s">
        <v>48</v>
      </c>
      <c r="G50" s="2" t="s">
        <v>18</v>
      </c>
      <c r="H50" s="3" t="s">
        <v>19</v>
      </c>
      <c r="I50" s="2" t="s">
        <v>139</v>
      </c>
      <c r="J50" s="2" t="s">
        <v>116</v>
      </c>
      <c r="K50" s="2" t="s">
        <v>388</v>
      </c>
      <c r="L50" s="9">
        <v>50702.295686011101</v>
      </c>
      <c r="M50" s="9">
        <f>Tabela1[[#This Row],[Meta Hoje]]*Tabela1[[#This Row],[Reajuste]]</f>
        <v>65405.961434954319</v>
      </c>
      <c r="N50" s="17">
        <f>_xlfn.XLOOKUP(Tabela1[[#This Row],[Subprocesso]],Ajuste!A:A,Ajuste!B:B,0)</f>
        <v>1.29</v>
      </c>
    </row>
    <row r="51" spans="1:14" hidden="1" x14ac:dyDescent="0.25">
      <c r="A51" s="2" t="s">
        <v>141</v>
      </c>
      <c r="B51" s="2" t="s">
        <v>23</v>
      </c>
      <c r="C51" s="2" t="s">
        <v>15</v>
      </c>
      <c r="D51" s="2" t="s">
        <v>24</v>
      </c>
      <c r="E51" s="2" t="s">
        <v>17</v>
      </c>
      <c r="F51" s="2" t="s">
        <v>17</v>
      </c>
      <c r="G51" s="2" t="s">
        <v>18</v>
      </c>
      <c r="H51" s="3" t="s">
        <v>19</v>
      </c>
      <c r="I51" s="2" t="s">
        <v>142</v>
      </c>
      <c r="J51" s="2" t="s">
        <v>116</v>
      </c>
      <c r="K51" s="2" t="s">
        <v>389</v>
      </c>
      <c r="L51" s="9">
        <v>51105.432477272305</v>
      </c>
      <c r="M51" s="9">
        <f>Tabela1[[#This Row],[Meta Hoje]]*Tabela1[[#This Row],[Reajuste]]</f>
        <v>61837.57329749949</v>
      </c>
      <c r="N51" s="17">
        <f>_xlfn.XLOOKUP(Tabela1[[#This Row],[Subprocesso]],Ajuste!A:A,Ajuste!B:B,0)</f>
        <v>1.21</v>
      </c>
    </row>
    <row r="52" spans="1:14" hidden="1" x14ac:dyDescent="0.25">
      <c r="A52" s="2" t="s">
        <v>143</v>
      </c>
      <c r="B52" s="2" t="s">
        <v>51</v>
      </c>
      <c r="C52" s="2" t="s">
        <v>15</v>
      </c>
      <c r="D52" s="2" t="s">
        <v>24</v>
      </c>
      <c r="E52" s="2" t="s">
        <v>17</v>
      </c>
      <c r="F52" s="2" t="s">
        <v>17</v>
      </c>
      <c r="G52" s="2" t="s">
        <v>18</v>
      </c>
      <c r="H52" s="3" t="s">
        <v>19</v>
      </c>
      <c r="I52" s="2" t="s">
        <v>144</v>
      </c>
      <c r="J52" s="2" t="s">
        <v>26</v>
      </c>
      <c r="K52" s="2" t="s">
        <v>389</v>
      </c>
      <c r="L52" s="9">
        <v>51105.432477272305</v>
      </c>
      <c r="M52" s="9">
        <f>Tabela1[[#This Row],[Meta Hoje]]*Tabela1[[#This Row],[Reajuste]]</f>
        <v>61837.57329749949</v>
      </c>
      <c r="N52" s="17">
        <f>_xlfn.XLOOKUP(Tabela1[[#This Row],[Subprocesso]],Ajuste!A:A,Ajuste!B:B,0)</f>
        <v>1.21</v>
      </c>
    </row>
    <row r="53" spans="1:14" x14ac:dyDescent="0.25">
      <c r="A53" s="2" t="s">
        <v>148</v>
      </c>
      <c r="B53" s="2" t="s">
        <v>108</v>
      </c>
      <c r="C53" s="2" t="s">
        <v>109</v>
      </c>
      <c r="D53" s="2" t="s">
        <v>128</v>
      </c>
      <c r="E53" s="2" t="s">
        <v>17</v>
      </c>
      <c r="F53" s="2" t="s">
        <v>17</v>
      </c>
      <c r="G53" s="2" t="s">
        <v>18</v>
      </c>
      <c r="H53" s="3">
        <v>46266</v>
      </c>
      <c r="I53" s="78" t="s">
        <v>250</v>
      </c>
      <c r="J53" s="2" t="s">
        <v>116</v>
      </c>
      <c r="K53" s="2" t="s">
        <v>389</v>
      </c>
      <c r="L53" s="9">
        <v>75054.508245109726</v>
      </c>
      <c r="M53" s="9">
        <f>Tabela1[[#This Row],[Meta Hoje]]*Tabela1[[#This Row],[Reajuste]]</f>
        <v>96820.315636191546</v>
      </c>
      <c r="N53" s="17">
        <f>_xlfn.XLOOKUP(Tabela1[[#This Row],[Subprocesso]],Ajuste!A:A,Ajuste!B:B,0)</f>
        <v>1.29</v>
      </c>
    </row>
    <row r="54" spans="1:14" hidden="1" x14ac:dyDescent="0.25">
      <c r="A54" s="2" t="s">
        <v>149</v>
      </c>
      <c r="B54" s="2" t="s">
        <v>123</v>
      </c>
      <c r="C54" s="2" t="s">
        <v>109</v>
      </c>
      <c r="D54" s="2" t="s">
        <v>128</v>
      </c>
      <c r="E54" s="2" t="s">
        <v>17</v>
      </c>
      <c r="F54" s="2" t="s">
        <v>17</v>
      </c>
      <c r="G54" s="2" t="s">
        <v>18</v>
      </c>
      <c r="H54" s="3" t="s">
        <v>19</v>
      </c>
      <c r="I54" s="78" t="s">
        <v>250</v>
      </c>
      <c r="J54" s="2" t="s">
        <v>116</v>
      </c>
      <c r="K54" s="2" t="s">
        <v>389</v>
      </c>
      <c r="L54" s="9">
        <v>75054.508245109726</v>
      </c>
      <c r="M54" s="9">
        <f>Tabela1[[#This Row],[Meta Hoje]]*Tabela1[[#This Row],[Reajuste]]</f>
        <v>96820.315636191546</v>
      </c>
      <c r="N54" s="17">
        <f>_xlfn.XLOOKUP(Tabela1[[#This Row],[Subprocesso]],Ajuste!A:A,Ajuste!B:B,0)</f>
        <v>1.29</v>
      </c>
    </row>
    <row r="55" spans="1:14" x14ac:dyDescent="0.25">
      <c r="A55" s="2" t="s">
        <v>152</v>
      </c>
      <c r="B55" s="2" t="s">
        <v>123</v>
      </c>
      <c r="C55" s="2" t="s">
        <v>109</v>
      </c>
      <c r="D55" s="2" t="s">
        <v>110</v>
      </c>
      <c r="E55" s="2" t="s">
        <v>48</v>
      </c>
      <c r="F55" s="2" t="s">
        <v>48</v>
      </c>
      <c r="G55" s="2" t="s">
        <v>18</v>
      </c>
      <c r="H55" s="3">
        <v>46327</v>
      </c>
      <c r="I55" s="2" t="s">
        <v>153</v>
      </c>
      <c r="J55" s="2" t="s">
        <v>26</v>
      </c>
      <c r="K55" s="2" t="s">
        <v>389</v>
      </c>
      <c r="L55" s="9">
        <v>50702.295686011101</v>
      </c>
      <c r="M55" s="9">
        <f>Tabela1[[#This Row],[Meta Hoje]]*Tabela1[[#This Row],[Reajuste]]</f>
        <v>65405.961434954319</v>
      </c>
      <c r="N55" s="17">
        <f>_xlfn.XLOOKUP(Tabela1[[#This Row],[Subprocesso]],Ajuste!A:A,Ajuste!B:B,0)</f>
        <v>1.29</v>
      </c>
    </row>
    <row r="56" spans="1:14" x14ac:dyDescent="0.25">
      <c r="A56" s="2" t="s">
        <v>157</v>
      </c>
      <c r="B56" s="2" t="s">
        <v>108</v>
      </c>
      <c r="C56" s="2" t="s">
        <v>109</v>
      </c>
      <c r="D56" s="2" t="s">
        <v>128</v>
      </c>
      <c r="E56" s="2" t="s">
        <v>17</v>
      </c>
      <c r="F56" s="2" t="s">
        <v>155</v>
      </c>
      <c r="G56" s="2" t="s">
        <v>129</v>
      </c>
      <c r="H56" s="3">
        <v>46237</v>
      </c>
      <c r="I56" s="2" t="s">
        <v>156</v>
      </c>
      <c r="J56" s="3" t="s">
        <v>129</v>
      </c>
      <c r="K56" s="2" t="s">
        <v>387</v>
      </c>
      <c r="L56" s="9">
        <v>75054.508245109726</v>
      </c>
      <c r="M56" s="9">
        <f>Tabela1[[#This Row],[Meta Hoje]]*Tabela1[[#This Row],[Reajuste]]</f>
        <v>96820.315636191546</v>
      </c>
      <c r="N56" s="17">
        <f>_xlfn.XLOOKUP(Tabela1[[#This Row],[Subprocesso]],Ajuste!A:A,Ajuste!B:B,0)</f>
        <v>1.29</v>
      </c>
    </row>
    <row r="57" spans="1:14" hidden="1" x14ac:dyDescent="0.25">
      <c r="A57" s="2" t="s">
        <v>150</v>
      </c>
      <c r="B57" s="2" t="s">
        <v>23</v>
      </c>
      <c r="C57" s="2" t="s">
        <v>15</v>
      </c>
      <c r="D57" s="2" t="s">
        <v>28</v>
      </c>
      <c r="E57" s="2" t="s">
        <v>29</v>
      </c>
      <c r="F57" s="2" t="s">
        <v>30</v>
      </c>
      <c r="G57" s="2" t="s">
        <v>18</v>
      </c>
      <c r="H57" s="3" t="s">
        <v>19</v>
      </c>
      <c r="I57" s="2" t="s">
        <v>151</v>
      </c>
      <c r="J57" s="2" t="s">
        <v>116</v>
      </c>
      <c r="K57" s="2" t="s">
        <v>389</v>
      </c>
      <c r="L57" s="9">
        <v>51105.432477272305</v>
      </c>
      <c r="M57" s="9">
        <f>Tabela1[[#This Row],[Meta Hoje]]*Tabela1[[#This Row],[Reajuste]]</f>
        <v>61837.57329749949</v>
      </c>
      <c r="N57" s="17">
        <f>_xlfn.XLOOKUP(Tabela1[[#This Row],[Subprocesso]],Ajuste!A:A,Ajuste!B:B,0)</f>
        <v>1.21</v>
      </c>
    </row>
    <row r="58" spans="1:14" hidden="1" x14ac:dyDescent="0.25">
      <c r="A58" s="2" t="s">
        <v>154</v>
      </c>
      <c r="B58" s="2" t="s">
        <v>108</v>
      </c>
      <c r="C58" s="2" t="s">
        <v>109</v>
      </c>
      <c r="D58" s="2" t="s">
        <v>128</v>
      </c>
      <c r="E58" s="2" t="s">
        <v>17</v>
      </c>
      <c r="F58" s="2" t="s">
        <v>155</v>
      </c>
      <c r="G58" s="2" t="s">
        <v>18</v>
      </c>
      <c r="H58" s="3" t="s">
        <v>19</v>
      </c>
      <c r="I58" s="2" t="s">
        <v>156</v>
      </c>
      <c r="J58" s="2" t="s">
        <v>26</v>
      </c>
      <c r="K58" s="2" t="s">
        <v>388</v>
      </c>
      <c r="L58" s="9">
        <v>75054.508245109726</v>
      </c>
      <c r="M58" s="9">
        <f>Tabela1[[#This Row],[Meta Hoje]]*Tabela1[[#This Row],[Reajuste]]</f>
        <v>96820.315636191546</v>
      </c>
      <c r="N58" s="17">
        <f>_xlfn.XLOOKUP(Tabela1[[#This Row],[Subprocesso]],Ajuste!A:A,Ajuste!B:B,0)</f>
        <v>1.29</v>
      </c>
    </row>
    <row r="59" spans="1:14" x14ac:dyDescent="0.25">
      <c r="A59" s="2" t="s">
        <v>158</v>
      </c>
      <c r="B59" s="2" t="s">
        <v>108</v>
      </c>
      <c r="C59" s="2" t="s">
        <v>109</v>
      </c>
      <c r="D59" s="2" t="s">
        <v>128</v>
      </c>
      <c r="E59" s="2" t="s">
        <v>17</v>
      </c>
      <c r="F59" s="2" t="s">
        <v>52</v>
      </c>
      <c r="G59" s="2" t="s">
        <v>129</v>
      </c>
      <c r="H59" s="3">
        <v>46237</v>
      </c>
      <c r="I59" s="2" t="s">
        <v>159</v>
      </c>
      <c r="J59" s="3" t="s">
        <v>129</v>
      </c>
      <c r="K59" s="2" t="s">
        <v>389</v>
      </c>
      <c r="L59" s="9">
        <v>75054.508245109726</v>
      </c>
      <c r="M59" s="9">
        <f>Tabela1[[#This Row],[Meta Hoje]]*Tabela1[[#This Row],[Reajuste]]</f>
        <v>96820.315636191546</v>
      </c>
      <c r="N59" s="17">
        <f>_xlfn.XLOOKUP(Tabela1[[#This Row],[Subprocesso]],Ajuste!A:A,Ajuste!B:B,0)</f>
        <v>1.29</v>
      </c>
    </row>
    <row r="60" spans="1:14" x14ac:dyDescent="0.25">
      <c r="A60" s="2" t="s">
        <v>160</v>
      </c>
      <c r="B60" s="2" t="s">
        <v>108</v>
      </c>
      <c r="C60" s="2" t="s">
        <v>109</v>
      </c>
      <c r="D60" s="2" t="s">
        <v>128</v>
      </c>
      <c r="E60" s="2" t="s">
        <v>17</v>
      </c>
      <c r="F60" s="2" t="s">
        <v>52</v>
      </c>
      <c r="G60" s="2" t="s">
        <v>18</v>
      </c>
      <c r="H60" s="3">
        <v>46266</v>
      </c>
      <c r="I60" s="2" t="s">
        <v>159</v>
      </c>
      <c r="J60" s="2" t="s">
        <v>26</v>
      </c>
      <c r="K60" s="2" t="s">
        <v>389</v>
      </c>
      <c r="L60" s="9">
        <v>75054.508245109726</v>
      </c>
      <c r="M60" s="9">
        <f>Tabela1[[#This Row],[Meta Hoje]]*Tabela1[[#This Row],[Reajuste]]</f>
        <v>96820.315636191546</v>
      </c>
      <c r="N60" s="17">
        <f>_xlfn.XLOOKUP(Tabela1[[#This Row],[Subprocesso]],Ajuste!A:A,Ajuste!B:B,0)</f>
        <v>1.29</v>
      </c>
    </row>
    <row r="61" spans="1:14" x14ac:dyDescent="0.25">
      <c r="A61" s="2" t="s">
        <v>163</v>
      </c>
      <c r="B61" s="2" t="s">
        <v>108</v>
      </c>
      <c r="C61" s="2" t="s">
        <v>109</v>
      </c>
      <c r="D61" s="2" t="s">
        <v>128</v>
      </c>
      <c r="E61" s="2" t="s">
        <v>17</v>
      </c>
      <c r="F61" s="2" t="s">
        <v>164</v>
      </c>
      <c r="G61" s="2" t="s">
        <v>129</v>
      </c>
      <c r="H61" s="3">
        <v>46234</v>
      </c>
      <c r="I61" s="78" t="s">
        <v>165</v>
      </c>
      <c r="J61" s="2" t="s">
        <v>129</v>
      </c>
      <c r="K61" s="2" t="s">
        <v>387</v>
      </c>
      <c r="L61" s="9">
        <v>75054.508245109726</v>
      </c>
      <c r="M61" s="9">
        <f>Tabela1[[#This Row],[Meta Hoje]]*Tabela1[[#This Row],[Reajuste]]</f>
        <v>96820.315636191546</v>
      </c>
      <c r="N61" s="17">
        <f>_xlfn.XLOOKUP(Tabela1[[#This Row],[Subprocesso]],Ajuste!A:A,Ajuste!B:B,0)</f>
        <v>1.29</v>
      </c>
    </row>
    <row r="62" spans="1:14" x14ac:dyDescent="0.25">
      <c r="A62" s="2" t="s">
        <v>166</v>
      </c>
      <c r="B62" s="2" t="s">
        <v>108</v>
      </c>
      <c r="C62" s="2" t="s">
        <v>109</v>
      </c>
      <c r="D62" s="2" t="s">
        <v>128</v>
      </c>
      <c r="E62" s="2" t="s">
        <v>17</v>
      </c>
      <c r="F62" s="2" t="s">
        <v>167</v>
      </c>
      <c r="G62" s="78" t="s">
        <v>129</v>
      </c>
      <c r="H62" s="77">
        <v>46262</v>
      </c>
      <c r="I62" s="2" t="s">
        <v>165</v>
      </c>
      <c r="J62" s="3" t="s">
        <v>129</v>
      </c>
      <c r="K62" s="2" t="s">
        <v>388</v>
      </c>
      <c r="L62" s="9">
        <v>75054.508245109726</v>
      </c>
      <c r="M62" s="9">
        <f>Tabela1[[#This Row],[Meta Hoje]]*Tabela1[[#This Row],[Reajuste]]</f>
        <v>96820.315636191546</v>
      </c>
      <c r="N62" s="17">
        <f>_xlfn.XLOOKUP(Tabela1[[#This Row],[Subprocesso]],Ajuste!A:A,Ajuste!B:B,0)</f>
        <v>1.29</v>
      </c>
    </row>
    <row r="63" spans="1:14" hidden="1" x14ac:dyDescent="0.25">
      <c r="A63" s="2" t="s">
        <v>161</v>
      </c>
      <c r="B63" s="2" t="s">
        <v>108</v>
      </c>
      <c r="C63" s="2" t="s">
        <v>109</v>
      </c>
      <c r="D63" s="2" t="s">
        <v>39</v>
      </c>
      <c r="E63" s="2" t="s">
        <v>40</v>
      </c>
      <c r="F63" s="2" t="s">
        <v>40</v>
      </c>
      <c r="G63" s="2" t="s">
        <v>18</v>
      </c>
      <c r="H63" s="3" t="s">
        <v>19</v>
      </c>
      <c r="I63" s="2" t="s">
        <v>162</v>
      </c>
      <c r="J63" s="2" t="s">
        <v>26</v>
      </c>
      <c r="K63" s="2" t="s">
        <v>389</v>
      </c>
      <c r="L63" s="9">
        <v>75054.508245109726</v>
      </c>
      <c r="M63" s="9">
        <f>Tabela1[[#This Row],[Meta Hoje]]*Tabela1[[#This Row],[Reajuste]]</f>
        <v>96820.315636191546</v>
      </c>
      <c r="N63" s="17">
        <f>_xlfn.XLOOKUP(Tabela1[[#This Row],[Subprocesso]],Ajuste!A:A,Ajuste!B:B,0)</f>
        <v>1.29</v>
      </c>
    </row>
    <row r="64" spans="1:14" x14ac:dyDescent="0.25">
      <c r="A64" s="73" t="s">
        <v>168</v>
      </c>
      <c r="B64" s="73" t="s">
        <v>108</v>
      </c>
      <c r="C64" s="73" t="s">
        <v>109</v>
      </c>
      <c r="D64" s="73" t="s">
        <v>110</v>
      </c>
      <c r="E64" s="73" t="s">
        <v>48</v>
      </c>
      <c r="F64" s="73" t="s">
        <v>48</v>
      </c>
      <c r="G64" s="73" t="s">
        <v>18</v>
      </c>
      <c r="H64" s="74">
        <v>46327</v>
      </c>
      <c r="I64" s="73" t="s">
        <v>169</v>
      </c>
      <c r="J64" s="73" t="s">
        <v>116</v>
      </c>
      <c r="K64" s="2" t="s">
        <v>387</v>
      </c>
      <c r="L64" s="75">
        <v>75054.508245109726</v>
      </c>
      <c r="M64" s="75">
        <f>Tabela1[[#This Row],[Meta Hoje]]*Tabela1[[#This Row],[Reajuste]]</f>
        <v>96820.315636191546</v>
      </c>
      <c r="N64" s="76">
        <f>_xlfn.XLOOKUP(Tabela1[[#This Row],[Subprocesso]],Ajuste!A:A,Ajuste!B:B,0)</f>
        <v>1.29</v>
      </c>
    </row>
    <row r="65" spans="1:14" x14ac:dyDescent="0.25">
      <c r="A65" s="73" t="s">
        <v>170</v>
      </c>
      <c r="B65" s="73" t="s">
        <v>108</v>
      </c>
      <c r="C65" s="73" t="s">
        <v>109</v>
      </c>
      <c r="D65" s="73" t="s">
        <v>110</v>
      </c>
      <c r="E65" s="73" t="s">
        <v>48</v>
      </c>
      <c r="F65" s="73" t="s">
        <v>48</v>
      </c>
      <c r="G65" s="73" t="s">
        <v>18</v>
      </c>
      <c r="H65" s="74">
        <v>46327</v>
      </c>
      <c r="I65" s="73" t="s">
        <v>169</v>
      </c>
      <c r="J65" s="73" t="s">
        <v>116</v>
      </c>
      <c r="K65" s="2" t="s">
        <v>388</v>
      </c>
      <c r="L65" s="75">
        <v>75054.508245109726</v>
      </c>
      <c r="M65" s="75">
        <f>Tabela1[[#This Row],[Meta Hoje]]*Tabela1[[#This Row],[Reajuste]]</f>
        <v>96820.315636191546</v>
      </c>
      <c r="N65" s="76">
        <f>_xlfn.XLOOKUP(Tabela1[[#This Row],[Subprocesso]],Ajuste!A:A,Ajuste!B:B,0)</f>
        <v>1.29</v>
      </c>
    </row>
    <row r="66" spans="1:14" x14ac:dyDescent="0.25">
      <c r="A66" s="2" t="s">
        <v>171</v>
      </c>
      <c r="B66" s="2" t="s">
        <v>108</v>
      </c>
      <c r="C66" s="2" t="s">
        <v>109</v>
      </c>
      <c r="D66" s="2" t="s">
        <v>114</v>
      </c>
      <c r="E66" s="2" t="s">
        <v>29</v>
      </c>
      <c r="F66" s="2" t="s">
        <v>68</v>
      </c>
      <c r="G66" s="2" t="s">
        <v>18</v>
      </c>
      <c r="H66" s="3">
        <v>46296</v>
      </c>
      <c r="I66" s="2" t="s">
        <v>172</v>
      </c>
      <c r="J66" s="2" t="s">
        <v>116</v>
      </c>
      <c r="K66" s="2" t="s">
        <v>389</v>
      </c>
      <c r="L66" s="9">
        <v>75054.508245109726</v>
      </c>
      <c r="M66" s="9">
        <f>Tabela1[[#This Row],[Meta Hoje]]*Tabela1[[#This Row],[Reajuste]]</f>
        <v>96820.315636191546</v>
      </c>
      <c r="N66" s="17">
        <f>_xlfn.XLOOKUP(Tabela1[[#This Row],[Subprocesso]],Ajuste!A:A,Ajuste!B:B,0)</f>
        <v>1.29</v>
      </c>
    </row>
    <row r="67" spans="1:14" hidden="1" x14ac:dyDescent="0.25">
      <c r="A67" s="2" t="s">
        <v>173</v>
      </c>
      <c r="B67" s="2" t="s">
        <v>123</v>
      </c>
      <c r="C67" s="2" t="s">
        <v>109</v>
      </c>
      <c r="D67" s="2" t="s">
        <v>114</v>
      </c>
      <c r="E67" s="2" t="s">
        <v>29</v>
      </c>
      <c r="F67" s="2" t="s">
        <v>29</v>
      </c>
      <c r="G67" s="2" t="s">
        <v>18</v>
      </c>
      <c r="H67" s="3" t="s">
        <v>19</v>
      </c>
      <c r="I67" s="2" t="s">
        <v>172</v>
      </c>
      <c r="J67" s="2" t="s">
        <v>116</v>
      </c>
      <c r="K67" s="2" t="s">
        <v>389</v>
      </c>
      <c r="L67" s="9">
        <v>50702.295686011101</v>
      </c>
      <c r="M67" s="9">
        <f>Tabela1[[#This Row],[Meta Hoje]]*Tabela1[[#This Row],[Reajuste]]</f>
        <v>65405.961434954319</v>
      </c>
      <c r="N67" s="17">
        <f>_xlfn.XLOOKUP(Tabela1[[#This Row],[Subprocesso]],Ajuste!A:A,Ajuste!B:B,0)</f>
        <v>1.29</v>
      </c>
    </row>
    <row r="68" spans="1:14" x14ac:dyDescent="0.25">
      <c r="A68" s="2" t="s">
        <v>174</v>
      </c>
      <c r="B68" s="2" t="s">
        <v>108</v>
      </c>
      <c r="C68" s="2" t="s">
        <v>109</v>
      </c>
      <c r="D68" s="2" t="s">
        <v>114</v>
      </c>
      <c r="E68" s="2" t="s">
        <v>29</v>
      </c>
      <c r="F68" s="2" t="s">
        <v>68</v>
      </c>
      <c r="G68" s="2" t="s">
        <v>18</v>
      </c>
      <c r="H68" s="3">
        <v>46296</v>
      </c>
      <c r="I68" s="2" t="s">
        <v>175</v>
      </c>
      <c r="J68" s="2" t="s">
        <v>116</v>
      </c>
      <c r="K68" s="2" t="s">
        <v>387</v>
      </c>
      <c r="L68" s="9">
        <v>75054.508245109726</v>
      </c>
      <c r="M68" s="9">
        <f>Tabela1[[#This Row],[Meta Hoje]]*Tabela1[[#This Row],[Reajuste]]</f>
        <v>96820.315636191546</v>
      </c>
      <c r="N68" s="17">
        <f>_xlfn.XLOOKUP(Tabela1[[#This Row],[Subprocesso]],Ajuste!A:A,Ajuste!B:B,0)</f>
        <v>1.29</v>
      </c>
    </row>
    <row r="69" spans="1:14" x14ac:dyDescent="0.25">
      <c r="A69" s="2" t="s">
        <v>176</v>
      </c>
      <c r="B69" s="2" t="s">
        <v>108</v>
      </c>
      <c r="C69" s="2" t="s">
        <v>109</v>
      </c>
      <c r="D69" s="2" t="s">
        <v>114</v>
      </c>
      <c r="E69" s="2" t="s">
        <v>29</v>
      </c>
      <c r="F69" s="2" t="s">
        <v>68</v>
      </c>
      <c r="G69" s="2" t="s">
        <v>18</v>
      </c>
      <c r="H69" s="3">
        <v>46296</v>
      </c>
      <c r="I69" s="2" t="s">
        <v>175</v>
      </c>
      <c r="J69" s="2" t="s">
        <v>116</v>
      </c>
      <c r="K69" s="2" t="s">
        <v>388</v>
      </c>
      <c r="L69" s="9">
        <v>75054.508245109726</v>
      </c>
      <c r="M69" s="9">
        <f>Tabela1[[#This Row],[Meta Hoje]]*Tabela1[[#This Row],[Reajuste]]</f>
        <v>96820.315636191546</v>
      </c>
      <c r="N69" s="17">
        <f>_xlfn.XLOOKUP(Tabela1[[#This Row],[Subprocesso]],Ajuste!A:A,Ajuste!B:B,0)</f>
        <v>1.29</v>
      </c>
    </row>
    <row r="70" spans="1:14" x14ac:dyDescent="0.25">
      <c r="A70" s="2" t="s">
        <v>185</v>
      </c>
      <c r="B70" s="2" t="s">
        <v>108</v>
      </c>
      <c r="C70" s="2" t="s">
        <v>109</v>
      </c>
      <c r="D70" s="2" t="s">
        <v>128</v>
      </c>
      <c r="E70" s="2" t="s">
        <v>17</v>
      </c>
      <c r="F70" s="2" t="s">
        <v>17</v>
      </c>
      <c r="G70" s="2" t="s">
        <v>18</v>
      </c>
      <c r="H70" s="3">
        <v>46266</v>
      </c>
      <c r="I70" s="2" t="s">
        <v>184</v>
      </c>
      <c r="J70" s="2" t="s">
        <v>116</v>
      </c>
      <c r="K70" s="2" t="s">
        <v>389</v>
      </c>
      <c r="L70" s="9">
        <v>75054.508245109726</v>
      </c>
      <c r="M70" s="9">
        <f>Tabela1[[#This Row],[Meta Hoje]]*Tabela1[[#This Row],[Reajuste]]</f>
        <v>96820.315636191546</v>
      </c>
      <c r="N70" s="17">
        <f>_xlfn.XLOOKUP(Tabela1[[#This Row],[Subprocesso]],Ajuste!A:A,Ajuste!B:B,0)</f>
        <v>1.29</v>
      </c>
    </row>
    <row r="71" spans="1:14" hidden="1" x14ac:dyDescent="0.25">
      <c r="A71" s="2" t="s">
        <v>183</v>
      </c>
      <c r="B71" s="2" t="s">
        <v>108</v>
      </c>
      <c r="C71" s="2" t="s">
        <v>109</v>
      </c>
      <c r="D71" s="2" t="s">
        <v>128</v>
      </c>
      <c r="E71" s="2" t="s">
        <v>17</v>
      </c>
      <c r="F71" s="2" t="s">
        <v>17</v>
      </c>
      <c r="G71" s="2" t="s">
        <v>18</v>
      </c>
      <c r="H71" s="3" t="s">
        <v>19</v>
      </c>
      <c r="I71" s="2" t="s">
        <v>184</v>
      </c>
      <c r="J71" s="2" t="s">
        <v>116</v>
      </c>
      <c r="K71" s="2" t="s">
        <v>389</v>
      </c>
      <c r="L71" s="9">
        <v>75054.508245109726</v>
      </c>
      <c r="M71" s="9">
        <f>Tabela1[[#This Row],[Meta Hoje]]*Tabela1[[#This Row],[Reajuste]]</f>
        <v>96820.315636191546</v>
      </c>
      <c r="N71" s="17">
        <f>_xlfn.XLOOKUP(Tabela1[[#This Row],[Subprocesso]],Ajuste!A:A,Ajuste!B:B,0)</f>
        <v>1.29</v>
      </c>
    </row>
    <row r="72" spans="1:14" hidden="1" x14ac:dyDescent="0.25">
      <c r="A72" s="2" t="s">
        <v>177</v>
      </c>
      <c r="B72" s="2" t="s">
        <v>23</v>
      </c>
      <c r="C72" s="2" t="s">
        <v>15</v>
      </c>
      <c r="D72" s="2" t="s">
        <v>28</v>
      </c>
      <c r="E72" s="2" t="s">
        <v>29</v>
      </c>
      <c r="F72" s="2" t="s">
        <v>30</v>
      </c>
      <c r="G72" s="2" t="s">
        <v>18</v>
      </c>
      <c r="H72" s="3" t="s">
        <v>19</v>
      </c>
      <c r="I72" s="2" t="s">
        <v>178</v>
      </c>
      <c r="J72" s="2" t="s">
        <v>26</v>
      </c>
      <c r="K72" s="2" t="s">
        <v>389</v>
      </c>
      <c r="L72" s="9">
        <v>51105.432477272305</v>
      </c>
      <c r="M72" s="9">
        <f>Tabela1[[#This Row],[Meta Hoje]]*Tabela1[[#This Row],[Reajuste]]</f>
        <v>61837.57329749949</v>
      </c>
      <c r="N72" s="17">
        <f>_xlfn.XLOOKUP(Tabela1[[#This Row],[Subprocesso]],Ajuste!A:A,Ajuste!B:B,0)</f>
        <v>1.21</v>
      </c>
    </row>
    <row r="73" spans="1:14" hidden="1" x14ac:dyDescent="0.25">
      <c r="A73" s="2" t="s">
        <v>179</v>
      </c>
      <c r="B73" s="2" t="s">
        <v>23</v>
      </c>
      <c r="C73" s="2" t="s">
        <v>15</v>
      </c>
      <c r="D73" s="2" t="s">
        <v>47</v>
      </c>
      <c r="E73" s="2" t="s">
        <v>48</v>
      </c>
      <c r="F73" s="2" t="s">
        <v>48</v>
      </c>
      <c r="G73" s="2" t="s">
        <v>18</v>
      </c>
      <c r="H73" s="3" t="s">
        <v>19</v>
      </c>
      <c r="I73" s="2" t="s">
        <v>180</v>
      </c>
      <c r="J73" s="2" t="s">
        <v>26</v>
      </c>
      <c r="K73" s="2" t="s">
        <v>389</v>
      </c>
      <c r="L73" s="9">
        <v>51105.432477272305</v>
      </c>
      <c r="M73" s="9">
        <f>Tabela1[[#This Row],[Meta Hoje]]*Tabela1[[#This Row],[Reajuste]]</f>
        <v>61837.57329749949</v>
      </c>
      <c r="N73" s="17">
        <f>_xlfn.XLOOKUP(Tabela1[[#This Row],[Subprocesso]],Ajuste!A:A,Ajuste!B:B,0)</f>
        <v>1.21</v>
      </c>
    </row>
    <row r="74" spans="1:14" hidden="1" x14ac:dyDescent="0.25">
      <c r="A74" s="2" t="s">
        <v>181</v>
      </c>
      <c r="B74" s="2" t="s">
        <v>51</v>
      </c>
      <c r="C74" s="2" t="s">
        <v>15</v>
      </c>
      <c r="D74" s="2" t="s">
        <v>28</v>
      </c>
      <c r="E74" s="2" t="s">
        <v>29</v>
      </c>
      <c r="F74" s="2" t="s">
        <v>30</v>
      </c>
      <c r="G74" s="2" t="s">
        <v>18</v>
      </c>
      <c r="H74" s="3" t="s">
        <v>19</v>
      </c>
      <c r="I74" s="2" t="s">
        <v>182</v>
      </c>
      <c r="J74" s="2" t="s">
        <v>26</v>
      </c>
      <c r="K74" s="2" t="s">
        <v>389</v>
      </c>
      <c r="L74" s="9">
        <v>51105.432477272305</v>
      </c>
      <c r="M74" s="9">
        <f>Tabela1[[#This Row],[Meta Hoje]]*Tabela1[[#This Row],[Reajuste]]</f>
        <v>61837.57329749949</v>
      </c>
      <c r="N74" s="17">
        <f>_xlfn.XLOOKUP(Tabela1[[#This Row],[Subprocesso]],Ajuste!A:A,Ajuste!B:B,0)</f>
        <v>1.21</v>
      </c>
    </row>
    <row r="75" spans="1:14" x14ac:dyDescent="0.25">
      <c r="A75" s="73" t="s">
        <v>186</v>
      </c>
      <c r="B75" s="73" t="s">
        <v>108</v>
      </c>
      <c r="C75" s="73" t="s">
        <v>109</v>
      </c>
      <c r="D75" s="73" t="s">
        <v>39</v>
      </c>
      <c r="E75" s="73" t="s">
        <v>40</v>
      </c>
      <c r="F75" s="73" t="s">
        <v>40</v>
      </c>
      <c r="G75" s="73" t="s">
        <v>18</v>
      </c>
      <c r="H75" s="74">
        <v>46357</v>
      </c>
      <c r="I75" s="73" t="s">
        <v>187</v>
      </c>
      <c r="J75" s="73" t="s">
        <v>116</v>
      </c>
      <c r="K75" s="2" t="s">
        <v>387</v>
      </c>
      <c r="L75" s="75">
        <v>75054.508245109726</v>
      </c>
      <c r="M75" s="75">
        <f>Tabela1[[#This Row],[Meta Hoje]]*Tabela1[[#This Row],[Reajuste]]</f>
        <v>96820.315636191546</v>
      </c>
      <c r="N75" s="76">
        <f>_xlfn.XLOOKUP(Tabela1[[#This Row],[Subprocesso]],Ajuste!A:A,Ajuste!B:B,0)</f>
        <v>1.29</v>
      </c>
    </row>
    <row r="76" spans="1:14" x14ac:dyDescent="0.25">
      <c r="A76" s="73" t="s">
        <v>188</v>
      </c>
      <c r="B76" s="73" t="s">
        <v>108</v>
      </c>
      <c r="C76" s="73" t="s">
        <v>109</v>
      </c>
      <c r="D76" s="73" t="s">
        <v>39</v>
      </c>
      <c r="E76" s="73" t="s">
        <v>40</v>
      </c>
      <c r="F76" s="73" t="s">
        <v>40</v>
      </c>
      <c r="G76" s="73" t="s">
        <v>18</v>
      </c>
      <c r="H76" s="74">
        <v>46357</v>
      </c>
      <c r="I76" s="73" t="s">
        <v>187</v>
      </c>
      <c r="J76" s="73" t="s">
        <v>116</v>
      </c>
      <c r="K76" s="2" t="s">
        <v>388</v>
      </c>
      <c r="L76" s="75">
        <v>75054.508245109726</v>
      </c>
      <c r="M76" s="75">
        <f>Tabela1[[#This Row],[Meta Hoje]]*Tabela1[[#This Row],[Reajuste]]</f>
        <v>96820.315636191546</v>
      </c>
      <c r="N76" s="76">
        <f>_xlfn.XLOOKUP(Tabela1[[#This Row],[Subprocesso]],Ajuste!A:A,Ajuste!B:B,0)</f>
        <v>1.29</v>
      </c>
    </row>
    <row r="77" spans="1:14" x14ac:dyDescent="0.25">
      <c r="A77" s="2" t="s">
        <v>189</v>
      </c>
      <c r="B77" s="2" t="s">
        <v>108</v>
      </c>
      <c r="C77" s="2" t="s">
        <v>109</v>
      </c>
      <c r="D77" s="2" t="s">
        <v>114</v>
      </c>
      <c r="E77" s="2" t="s">
        <v>29</v>
      </c>
      <c r="F77" s="2" t="s">
        <v>190</v>
      </c>
      <c r="G77" s="2" t="s">
        <v>18</v>
      </c>
      <c r="H77" s="3">
        <v>46296</v>
      </c>
      <c r="I77" s="2" t="s">
        <v>191</v>
      </c>
      <c r="J77" s="2" t="s">
        <v>116</v>
      </c>
      <c r="K77" s="2" t="s">
        <v>387</v>
      </c>
      <c r="L77" s="9">
        <v>75054.508245109726</v>
      </c>
      <c r="M77" s="9">
        <f>Tabela1[[#This Row],[Meta Hoje]]*Tabela1[[#This Row],[Reajuste]]</f>
        <v>96820.315636191546</v>
      </c>
      <c r="N77" s="17">
        <f>_xlfn.XLOOKUP(Tabela1[[#This Row],[Subprocesso]],Ajuste!A:A,Ajuste!B:B,0)</f>
        <v>1.29</v>
      </c>
    </row>
    <row r="78" spans="1:14" x14ac:dyDescent="0.25">
      <c r="A78" s="2" t="s">
        <v>192</v>
      </c>
      <c r="B78" s="2" t="s">
        <v>108</v>
      </c>
      <c r="C78" s="2" t="s">
        <v>109</v>
      </c>
      <c r="D78" s="2" t="s">
        <v>114</v>
      </c>
      <c r="E78" s="2" t="s">
        <v>29</v>
      </c>
      <c r="F78" s="2" t="s">
        <v>190</v>
      </c>
      <c r="G78" s="2" t="s">
        <v>18</v>
      </c>
      <c r="H78" s="3">
        <v>46296</v>
      </c>
      <c r="I78" s="2" t="s">
        <v>191</v>
      </c>
      <c r="J78" s="2" t="s">
        <v>116</v>
      </c>
      <c r="K78" s="2" t="s">
        <v>388</v>
      </c>
      <c r="L78" s="9">
        <v>75054.508245109726</v>
      </c>
      <c r="M78" s="9">
        <f>Tabela1[[#This Row],[Meta Hoje]]*Tabela1[[#This Row],[Reajuste]]</f>
        <v>96820.315636191546</v>
      </c>
      <c r="N78" s="17">
        <f>_xlfn.XLOOKUP(Tabela1[[#This Row],[Subprocesso]],Ajuste!A:A,Ajuste!B:B,0)</f>
        <v>1.29</v>
      </c>
    </row>
    <row r="79" spans="1:14" hidden="1" x14ac:dyDescent="0.25">
      <c r="A79" s="2" t="s">
        <v>193</v>
      </c>
      <c r="B79" s="2" t="s">
        <v>108</v>
      </c>
      <c r="C79" s="2" t="s">
        <v>109</v>
      </c>
      <c r="D79" s="2" t="s">
        <v>110</v>
      </c>
      <c r="E79" s="2" t="s">
        <v>48</v>
      </c>
      <c r="F79" s="2" t="s">
        <v>194</v>
      </c>
      <c r="G79" s="2" t="s">
        <v>18</v>
      </c>
      <c r="H79" s="3" t="s">
        <v>19</v>
      </c>
      <c r="I79" s="2" t="s">
        <v>195</v>
      </c>
      <c r="J79" s="2" t="s">
        <v>116</v>
      </c>
      <c r="K79" s="2" t="s">
        <v>389</v>
      </c>
      <c r="L79" s="9">
        <v>75054.508245109726</v>
      </c>
      <c r="M79" s="9">
        <f>Tabela1[[#This Row],[Meta Hoje]]*Tabela1[[#This Row],[Reajuste]]</f>
        <v>96820.315636191546</v>
      </c>
      <c r="N79" s="17">
        <f>_xlfn.XLOOKUP(Tabela1[[#This Row],[Subprocesso]],Ajuste!A:A,Ajuste!B:B,0)</f>
        <v>1.29</v>
      </c>
    </row>
    <row r="80" spans="1:14" hidden="1" x14ac:dyDescent="0.25">
      <c r="A80" s="2" t="s">
        <v>196</v>
      </c>
      <c r="B80" s="2" t="s">
        <v>108</v>
      </c>
      <c r="C80" s="2" t="s">
        <v>109</v>
      </c>
      <c r="D80" s="2" t="s">
        <v>110</v>
      </c>
      <c r="E80" s="2" t="s">
        <v>48</v>
      </c>
      <c r="F80" s="2" t="s">
        <v>194</v>
      </c>
      <c r="G80" s="2" t="s">
        <v>18</v>
      </c>
      <c r="H80" s="3" t="s">
        <v>19</v>
      </c>
      <c r="I80" s="2" t="s">
        <v>195</v>
      </c>
      <c r="J80" s="2" t="s">
        <v>116</v>
      </c>
      <c r="K80" s="2" t="s">
        <v>389</v>
      </c>
      <c r="L80" s="9">
        <v>75054.508245109726</v>
      </c>
      <c r="M80" s="9">
        <f>Tabela1[[#This Row],[Meta Hoje]]*Tabela1[[#This Row],[Reajuste]]</f>
        <v>96820.315636191546</v>
      </c>
      <c r="N80" s="17">
        <f>_xlfn.XLOOKUP(Tabela1[[#This Row],[Subprocesso]],Ajuste!A:A,Ajuste!B:B,0)</f>
        <v>1.29</v>
      </c>
    </row>
    <row r="81" spans="1:14" hidden="1" x14ac:dyDescent="0.25">
      <c r="A81" s="2" t="s">
        <v>147</v>
      </c>
      <c r="B81" s="2" t="s">
        <v>108</v>
      </c>
      <c r="C81" s="2" t="s">
        <v>109</v>
      </c>
      <c r="D81" s="2" t="s">
        <v>110</v>
      </c>
      <c r="E81" s="2" t="s">
        <v>48</v>
      </c>
      <c r="F81" s="2" t="s">
        <v>63</v>
      </c>
      <c r="G81" s="2" t="s">
        <v>18</v>
      </c>
      <c r="H81" s="3" t="s">
        <v>19</v>
      </c>
      <c r="I81" s="2" t="s">
        <v>146</v>
      </c>
      <c r="J81" s="2" t="s">
        <v>116</v>
      </c>
      <c r="K81" s="2" t="s">
        <v>389</v>
      </c>
      <c r="L81" s="9">
        <v>75054.508245109726</v>
      </c>
      <c r="M81" s="9">
        <f>Tabela1[[#This Row],[Meta Hoje]]*Tabela1[[#This Row],[Reajuste]]</f>
        <v>96820.315636191546</v>
      </c>
      <c r="N81" s="17">
        <f>_xlfn.XLOOKUP(Tabela1[[#This Row],[Subprocesso]],Ajuste!A:A,Ajuste!B:B,0)</f>
        <v>1.29</v>
      </c>
    </row>
    <row r="82" spans="1:14" x14ac:dyDescent="0.25">
      <c r="A82" s="2" t="s">
        <v>145</v>
      </c>
      <c r="B82" s="2" t="s">
        <v>108</v>
      </c>
      <c r="C82" s="2" t="s">
        <v>109</v>
      </c>
      <c r="D82" s="2" t="s">
        <v>110</v>
      </c>
      <c r="E82" s="2" t="s">
        <v>48</v>
      </c>
      <c r="F82" s="2" t="s">
        <v>63</v>
      </c>
      <c r="G82" s="2" t="s">
        <v>18</v>
      </c>
      <c r="H82" s="3">
        <v>46327</v>
      </c>
      <c r="I82" s="2" t="s">
        <v>146</v>
      </c>
      <c r="J82" s="2" t="s">
        <v>116</v>
      </c>
      <c r="K82" s="2" t="s">
        <v>389</v>
      </c>
      <c r="L82" s="9">
        <v>75054.508245109726</v>
      </c>
      <c r="M82" s="9">
        <f>Tabela1[[#This Row],[Meta Hoje]]*Tabela1[[#This Row],[Reajuste]]</f>
        <v>96820.315636191546</v>
      </c>
      <c r="N82" s="17">
        <f>_xlfn.XLOOKUP(Tabela1[[#This Row],[Subprocesso]],Ajuste!A:A,Ajuste!B:B,0)</f>
        <v>1.29</v>
      </c>
    </row>
    <row r="83" spans="1:14" hidden="1" x14ac:dyDescent="0.25">
      <c r="A83" s="2" t="s">
        <v>197</v>
      </c>
      <c r="B83" s="2" t="s">
        <v>108</v>
      </c>
      <c r="C83" s="2" t="s">
        <v>109</v>
      </c>
      <c r="D83" s="2" t="s">
        <v>114</v>
      </c>
      <c r="E83" s="2" t="s">
        <v>29</v>
      </c>
      <c r="F83" s="2" t="s">
        <v>30</v>
      </c>
      <c r="G83" s="2" t="s">
        <v>18</v>
      </c>
      <c r="H83" s="3" t="s">
        <v>19</v>
      </c>
      <c r="I83" s="2" t="s">
        <v>198</v>
      </c>
      <c r="J83" s="2" t="s">
        <v>116</v>
      </c>
      <c r="K83" s="2" t="s">
        <v>388</v>
      </c>
      <c r="L83" s="9">
        <v>75054.508245109726</v>
      </c>
      <c r="M83" s="9">
        <f>Tabela1[[#This Row],[Meta Hoje]]*Tabela1[[#This Row],[Reajuste]]</f>
        <v>96820.315636191546</v>
      </c>
      <c r="N83" s="17">
        <f>_xlfn.XLOOKUP(Tabela1[[#This Row],[Subprocesso]],Ajuste!A:A,Ajuste!B:B,0)</f>
        <v>1.29</v>
      </c>
    </row>
    <row r="84" spans="1:14" x14ac:dyDescent="0.25">
      <c r="A84" s="2" t="s">
        <v>199</v>
      </c>
      <c r="B84" s="2" t="s">
        <v>108</v>
      </c>
      <c r="C84" s="2" t="s">
        <v>109</v>
      </c>
      <c r="D84" s="2" t="s">
        <v>114</v>
      </c>
      <c r="E84" s="2" t="s">
        <v>29</v>
      </c>
      <c r="F84" s="2" t="s">
        <v>190</v>
      </c>
      <c r="G84" s="2" t="s">
        <v>18</v>
      </c>
      <c r="H84" s="3">
        <v>46296</v>
      </c>
      <c r="I84" s="2" t="s">
        <v>198</v>
      </c>
      <c r="J84" s="2" t="s">
        <v>116</v>
      </c>
      <c r="K84" s="2" t="s">
        <v>387</v>
      </c>
      <c r="L84" s="9">
        <v>75054.508245109726</v>
      </c>
      <c r="M84" s="9">
        <f>Tabela1[[#This Row],[Meta Hoje]]*Tabela1[[#This Row],[Reajuste]]</f>
        <v>96820.315636191546</v>
      </c>
      <c r="N84" s="17">
        <f>_xlfn.XLOOKUP(Tabela1[[#This Row],[Subprocesso]],Ajuste!A:A,Ajuste!B:B,0)</f>
        <v>1.29</v>
      </c>
    </row>
    <row r="85" spans="1:14" x14ac:dyDescent="0.25">
      <c r="A85" s="2" t="s">
        <v>200</v>
      </c>
      <c r="B85" s="2" t="s">
        <v>108</v>
      </c>
      <c r="C85" s="2" t="s">
        <v>109</v>
      </c>
      <c r="D85" s="2" t="s">
        <v>110</v>
      </c>
      <c r="E85" s="2" t="s">
        <v>48</v>
      </c>
      <c r="F85" s="2" t="s">
        <v>48</v>
      </c>
      <c r="G85" s="2" t="s">
        <v>18</v>
      </c>
      <c r="H85" s="3">
        <v>46327</v>
      </c>
      <c r="I85" s="2" t="s">
        <v>201</v>
      </c>
      <c r="J85" s="2" t="s">
        <v>26</v>
      </c>
      <c r="K85" s="2" t="s">
        <v>389</v>
      </c>
      <c r="L85" s="9">
        <v>75054.508245109726</v>
      </c>
      <c r="M85" s="9">
        <f>Tabela1[[#This Row],[Meta Hoje]]*Tabela1[[#This Row],[Reajuste]]</f>
        <v>96820.315636191546</v>
      </c>
      <c r="N85" s="17">
        <f>_xlfn.XLOOKUP(Tabela1[[#This Row],[Subprocesso]],Ajuste!A:A,Ajuste!B:B,0)</f>
        <v>1.29</v>
      </c>
    </row>
    <row r="86" spans="1:14" hidden="1" x14ac:dyDescent="0.25">
      <c r="A86" s="2" t="s">
        <v>202</v>
      </c>
      <c r="B86" s="2" t="s">
        <v>35</v>
      </c>
      <c r="C86" s="2" t="s">
        <v>36</v>
      </c>
      <c r="D86" s="2" t="s">
        <v>47</v>
      </c>
      <c r="E86" s="2" t="s">
        <v>48</v>
      </c>
      <c r="F86" s="2" t="s">
        <v>48</v>
      </c>
      <c r="G86" s="2" t="s">
        <v>18</v>
      </c>
      <c r="H86" s="3" t="s">
        <v>19</v>
      </c>
      <c r="I86" s="78" t="s">
        <v>203</v>
      </c>
      <c r="J86" s="2" t="s">
        <v>26</v>
      </c>
      <c r="K86" s="2" t="s">
        <v>389</v>
      </c>
      <c r="L86" s="9">
        <v>39477.950268264001</v>
      </c>
      <c r="M86" s="9">
        <f>Tabela1[[#This Row],[Meta Hoje]]*Tabela1[[#This Row],[Reajuste]]</f>
        <v>71455.089985557846</v>
      </c>
      <c r="N86" s="17">
        <f>_xlfn.XLOOKUP(Tabela1[[#This Row],[Subprocesso]],Ajuste!A:A,Ajuste!B:B,0)</f>
        <v>1.81</v>
      </c>
    </row>
    <row r="87" spans="1:14" hidden="1" x14ac:dyDescent="0.25">
      <c r="A87" s="2" t="s">
        <v>204</v>
      </c>
      <c r="B87" s="2" t="s">
        <v>35</v>
      </c>
      <c r="C87" s="2" t="s">
        <v>36</v>
      </c>
      <c r="D87" s="2" t="s">
        <v>39</v>
      </c>
      <c r="E87" s="2" t="s">
        <v>40</v>
      </c>
      <c r="F87" s="2" t="s">
        <v>40</v>
      </c>
      <c r="G87" s="2" t="s">
        <v>18</v>
      </c>
      <c r="H87" s="3" t="s">
        <v>19</v>
      </c>
      <c r="I87" s="2" t="s">
        <v>205</v>
      </c>
      <c r="J87" s="2" t="s">
        <v>26</v>
      </c>
      <c r="K87" s="2" t="s">
        <v>389</v>
      </c>
      <c r="L87" s="9">
        <v>39477.950268264001</v>
      </c>
      <c r="M87" s="9">
        <f>Tabela1[[#This Row],[Meta Hoje]]*Tabela1[[#This Row],[Reajuste]]</f>
        <v>71455.089985557846</v>
      </c>
      <c r="N87" s="17">
        <f>_xlfn.XLOOKUP(Tabela1[[#This Row],[Subprocesso]],Ajuste!A:A,Ajuste!B:B,0)</f>
        <v>1.81</v>
      </c>
    </row>
    <row r="88" spans="1:14" hidden="1" x14ac:dyDescent="0.25">
      <c r="A88" s="2" t="s">
        <v>206</v>
      </c>
      <c r="B88" s="2" t="s">
        <v>35</v>
      </c>
      <c r="C88" s="2" t="s">
        <v>36</v>
      </c>
      <c r="D88" s="2" t="s">
        <v>28</v>
      </c>
      <c r="E88" s="2" t="s">
        <v>29</v>
      </c>
      <c r="F88" s="2" t="s">
        <v>30</v>
      </c>
      <c r="G88" s="2" t="s">
        <v>18</v>
      </c>
      <c r="H88" s="3" t="s">
        <v>19</v>
      </c>
      <c r="I88" s="2" t="s">
        <v>207</v>
      </c>
      <c r="J88" s="2" t="s">
        <v>26</v>
      </c>
      <c r="K88" s="2" t="s">
        <v>389</v>
      </c>
      <c r="L88" s="9">
        <v>39477.950268264001</v>
      </c>
      <c r="M88" s="9">
        <f>Tabela1[[#This Row],[Meta Hoje]]*Tabela1[[#This Row],[Reajuste]]</f>
        <v>71455.089985557846</v>
      </c>
      <c r="N88" s="17">
        <f>_xlfn.XLOOKUP(Tabela1[[#This Row],[Subprocesso]],Ajuste!A:A,Ajuste!B:B,0)</f>
        <v>1.81</v>
      </c>
    </row>
    <row r="89" spans="1:14" hidden="1" x14ac:dyDescent="0.25">
      <c r="A89" s="2" t="s">
        <v>208</v>
      </c>
      <c r="B89" s="2" t="s">
        <v>35</v>
      </c>
      <c r="C89" s="2" t="s">
        <v>36</v>
      </c>
      <c r="D89" s="2" t="s">
        <v>47</v>
      </c>
      <c r="E89" s="2" t="s">
        <v>48</v>
      </c>
      <c r="F89" s="2" t="s">
        <v>48</v>
      </c>
      <c r="G89" s="2" t="s">
        <v>18</v>
      </c>
      <c r="H89" s="3" t="s">
        <v>19</v>
      </c>
      <c r="I89" s="2" t="s">
        <v>209</v>
      </c>
      <c r="J89" s="2" t="s">
        <v>26</v>
      </c>
      <c r="K89" s="2" t="s">
        <v>389</v>
      </c>
      <c r="L89" s="9">
        <v>39477.950268264001</v>
      </c>
      <c r="M89" s="9">
        <f>Tabela1[[#This Row],[Meta Hoje]]*Tabela1[[#This Row],[Reajuste]]</f>
        <v>71455.089985557846</v>
      </c>
      <c r="N89" s="17">
        <f>_xlfn.XLOOKUP(Tabela1[[#This Row],[Subprocesso]],Ajuste!A:A,Ajuste!B:B,0)</f>
        <v>1.81</v>
      </c>
    </row>
  </sheetData>
  <conditionalFormatting sqref="A2:A89">
    <cfRule type="duplicateValues" dxfId="16" priority="32"/>
  </conditionalFormatting>
  <conditionalFormatting sqref="A75:A78 A79:B79 A85:B85">
    <cfRule type="duplicateValues" dxfId="15" priority="17"/>
  </conditionalFormatting>
  <conditionalFormatting sqref="A80:A81">
    <cfRule type="duplicateValues" dxfId="14" priority="18"/>
    <cfRule type="duplicateValues" dxfId="13" priority="19"/>
  </conditionalFormatting>
  <conditionalFormatting sqref="A81:A84">
    <cfRule type="duplicateValues" dxfId="12" priority="20"/>
    <cfRule type="duplicateValues" dxfId="11" priority="21"/>
  </conditionalFormatting>
  <conditionalFormatting sqref="A85:A86">
    <cfRule type="duplicateValues" dxfId="10" priority="11"/>
    <cfRule type="duplicateValues" dxfId="9" priority="12"/>
  </conditionalFormatting>
  <conditionalFormatting sqref="A86:A89">
    <cfRule type="duplicateValues" dxfId="8" priority="13"/>
    <cfRule type="duplicateValues" dxfId="7" priority="14"/>
    <cfRule type="duplicateValues" dxfId="6" priority="15"/>
  </conditionalFormatting>
  <conditionalFormatting sqref="A84:B84">
    <cfRule type="duplicateValues" dxfId="5" priority="23"/>
  </conditionalFormatting>
  <conditionalFormatting sqref="I1:I1048576">
    <cfRule type="duplicateValues" dxfId="4" priority="1"/>
    <cfRule type="duplicateValues" dxfId="3" priority="8"/>
    <cfRule type="duplicateValues" dxfId="2" priority="9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2" sqref="B2:D16"/>
    </sheetView>
  </sheetViews>
  <sheetFormatPr defaultRowHeight="15" x14ac:dyDescent="0.25"/>
  <cols>
    <col min="1" max="1" width="29.140625" customWidth="1"/>
    <col min="2" max="2" width="6.7109375" customWidth="1"/>
  </cols>
  <sheetData>
    <row r="1" spans="1:2" x14ac:dyDescent="0.25">
      <c r="A1" s="1" t="s">
        <v>2</v>
      </c>
      <c r="B1" s="1" t="s">
        <v>210</v>
      </c>
    </row>
    <row r="2" spans="1:2" x14ac:dyDescent="0.25">
      <c r="A2" s="2" t="s">
        <v>15</v>
      </c>
      <c r="B2" s="2">
        <v>1.21</v>
      </c>
    </row>
    <row r="3" spans="1:2" x14ac:dyDescent="0.25">
      <c r="A3" s="2" t="s">
        <v>36</v>
      </c>
      <c r="B3" s="2">
        <v>1.81</v>
      </c>
    </row>
    <row r="4" spans="1:2" x14ac:dyDescent="0.25">
      <c r="A4" s="2" t="s">
        <v>104</v>
      </c>
      <c r="B4" s="2">
        <v>1.28</v>
      </c>
    </row>
    <row r="5" spans="1:2" x14ac:dyDescent="0.25">
      <c r="A5" s="2" t="s">
        <v>109</v>
      </c>
      <c r="B5" s="2">
        <v>1.29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"/>
  <sheetViews>
    <sheetView workbookViewId="0">
      <selection activeCell="H2" sqref="H2"/>
    </sheetView>
  </sheetViews>
  <sheetFormatPr defaultRowHeight="15" x14ac:dyDescent="0.25"/>
  <cols>
    <col min="1" max="1" width="12" customWidth="1"/>
    <col min="2" max="2" width="28" customWidth="1"/>
    <col min="3" max="3" width="38" customWidth="1"/>
    <col min="4" max="4" width="12" customWidth="1"/>
    <col min="5" max="5" width="14" customWidth="1"/>
    <col min="6" max="6" width="20" customWidth="1"/>
    <col min="7" max="7" width="15" customWidth="1"/>
    <col min="8" max="8" width="28" customWidth="1"/>
    <col min="9" max="9" width="16" customWidth="1"/>
    <col min="10" max="10" width="28" customWidth="1"/>
  </cols>
  <sheetData>
    <row r="1" spans="1:10" ht="30" x14ac:dyDescent="0.25">
      <c r="A1" s="10" t="s">
        <v>226</v>
      </c>
      <c r="B1" s="10" t="s">
        <v>227</v>
      </c>
      <c r="C1" s="10" t="s">
        <v>228</v>
      </c>
      <c r="D1" s="10" t="s">
        <v>229</v>
      </c>
      <c r="E1" s="10" t="s">
        <v>230</v>
      </c>
      <c r="F1" s="10" t="s">
        <v>231</v>
      </c>
      <c r="G1" s="10" t="s">
        <v>232</v>
      </c>
      <c r="H1" s="10" t="s">
        <v>233</v>
      </c>
      <c r="I1" s="10" t="s">
        <v>234</v>
      </c>
      <c r="J1" s="10" t="s">
        <v>235</v>
      </c>
    </row>
    <row r="2" spans="1:10" x14ac:dyDescent="0.25">
      <c r="A2" s="11" t="s">
        <v>25</v>
      </c>
      <c r="B2" s="11" t="s">
        <v>23</v>
      </c>
      <c r="C2" s="11" t="s">
        <v>22</v>
      </c>
      <c r="D2" s="11">
        <v>1</v>
      </c>
      <c r="E2" s="11" t="s">
        <v>19</v>
      </c>
      <c r="F2" s="11"/>
      <c r="G2" s="12"/>
      <c r="H2" s="11" t="s">
        <v>236</v>
      </c>
      <c r="I2" s="11" t="s">
        <v>237</v>
      </c>
      <c r="J2" s="11"/>
    </row>
    <row r="3" spans="1:10" x14ac:dyDescent="0.25">
      <c r="A3" s="11" t="s">
        <v>31</v>
      </c>
      <c r="B3" s="11" t="s">
        <v>23</v>
      </c>
      <c r="C3" s="11" t="s">
        <v>27</v>
      </c>
      <c r="D3" s="11">
        <v>1</v>
      </c>
      <c r="E3" s="11" t="s">
        <v>19</v>
      </c>
      <c r="F3" s="11"/>
      <c r="G3" s="12"/>
      <c r="H3" s="11" t="s">
        <v>236</v>
      </c>
      <c r="I3" s="11" t="s">
        <v>237</v>
      </c>
      <c r="J3" s="11"/>
    </row>
    <row r="4" spans="1:10" x14ac:dyDescent="0.25">
      <c r="A4" s="11" t="s">
        <v>33</v>
      </c>
      <c r="B4" s="11" t="s">
        <v>23</v>
      </c>
      <c r="C4" s="11" t="s">
        <v>32</v>
      </c>
      <c r="D4" s="11">
        <v>1</v>
      </c>
      <c r="E4" s="11" t="s">
        <v>19</v>
      </c>
      <c r="F4" s="11"/>
      <c r="G4" s="12"/>
      <c r="H4" s="11" t="s">
        <v>236</v>
      </c>
      <c r="I4" s="11" t="s">
        <v>237</v>
      </c>
      <c r="J4" s="11"/>
    </row>
    <row r="5" spans="1:10" x14ac:dyDescent="0.25">
      <c r="A5" s="11" t="s">
        <v>37</v>
      </c>
      <c r="B5" s="11" t="s">
        <v>35</v>
      </c>
      <c r="C5" s="11" t="s">
        <v>34</v>
      </c>
      <c r="D5" s="11">
        <v>1</v>
      </c>
      <c r="E5" s="11" t="s">
        <v>19</v>
      </c>
      <c r="F5" s="11"/>
      <c r="G5" s="12"/>
      <c r="H5" s="11" t="s">
        <v>236</v>
      </c>
      <c r="I5" s="11" t="s">
        <v>237</v>
      </c>
      <c r="J5" s="11"/>
    </row>
    <row r="6" spans="1:10" x14ac:dyDescent="0.25">
      <c r="A6" s="11" t="s">
        <v>41</v>
      </c>
      <c r="B6" s="11" t="s">
        <v>23</v>
      </c>
      <c r="C6" s="11" t="s">
        <v>38</v>
      </c>
      <c r="D6" s="11">
        <v>1</v>
      </c>
      <c r="E6" s="11" t="s">
        <v>19</v>
      </c>
      <c r="F6" s="11"/>
      <c r="G6" s="12"/>
      <c r="H6" s="11" t="s">
        <v>236</v>
      </c>
      <c r="I6" s="11" t="s">
        <v>237</v>
      </c>
      <c r="J6" s="11"/>
    </row>
    <row r="7" spans="1:10" x14ac:dyDescent="0.25">
      <c r="A7" s="11" t="s">
        <v>43</v>
      </c>
      <c r="B7" s="11" t="s">
        <v>35</v>
      </c>
      <c r="C7" s="11" t="s">
        <v>42</v>
      </c>
      <c r="D7" s="11">
        <v>1</v>
      </c>
      <c r="E7" s="11" t="s">
        <v>19</v>
      </c>
      <c r="F7" s="11"/>
      <c r="G7" s="12"/>
      <c r="H7" s="11" t="s">
        <v>236</v>
      </c>
      <c r="I7" s="11" t="s">
        <v>237</v>
      </c>
      <c r="J7" s="11"/>
    </row>
    <row r="8" spans="1:10" x14ac:dyDescent="0.25">
      <c r="A8" s="11" t="s">
        <v>45</v>
      </c>
      <c r="B8" s="11" t="s">
        <v>23</v>
      </c>
      <c r="C8" s="11" t="s">
        <v>44</v>
      </c>
      <c r="D8" s="11">
        <v>1</v>
      </c>
      <c r="E8" s="11" t="s">
        <v>19</v>
      </c>
      <c r="F8" s="11"/>
      <c r="G8" s="12"/>
      <c r="H8" s="11" t="s">
        <v>236</v>
      </c>
      <c r="I8" s="11" t="s">
        <v>237</v>
      </c>
      <c r="J8" s="11"/>
    </row>
    <row r="9" spans="1:10" x14ac:dyDescent="0.25">
      <c r="A9" s="11" t="s">
        <v>49</v>
      </c>
      <c r="B9" s="11" t="s">
        <v>23</v>
      </c>
      <c r="C9" s="11" t="s">
        <v>46</v>
      </c>
      <c r="D9" s="11">
        <v>1</v>
      </c>
      <c r="E9" s="11" t="s">
        <v>19</v>
      </c>
      <c r="F9" s="11"/>
      <c r="G9" s="12"/>
      <c r="H9" s="11" t="s">
        <v>236</v>
      </c>
      <c r="I9" s="11" t="s">
        <v>237</v>
      </c>
      <c r="J9" s="11"/>
    </row>
    <row r="10" spans="1:10" ht="30" x14ac:dyDescent="0.25">
      <c r="A10" s="11" t="s">
        <v>53</v>
      </c>
      <c r="B10" s="11" t="s">
        <v>51</v>
      </c>
      <c r="C10" s="11" t="s">
        <v>50</v>
      </c>
      <c r="D10" s="11">
        <v>1</v>
      </c>
      <c r="E10" s="11" t="s">
        <v>19</v>
      </c>
      <c r="F10" s="11"/>
      <c r="G10" s="12"/>
      <c r="H10" s="11" t="s">
        <v>236</v>
      </c>
      <c r="I10" s="11" t="s">
        <v>237</v>
      </c>
      <c r="J10" s="11"/>
    </row>
    <row r="11" spans="1:10" x14ac:dyDescent="0.25">
      <c r="A11" s="11" t="s">
        <v>55</v>
      </c>
      <c r="B11" s="11" t="s">
        <v>23</v>
      </c>
      <c r="C11" s="11" t="s">
        <v>54</v>
      </c>
      <c r="D11" s="11">
        <v>1</v>
      </c>
      <c r="E11" s="11" t="s">
        <v>19</v>
      </c>
      <c r="F11" s="11"/>
      <c r="G11" s="12"/>
      <c r="H11" s="11" t="s">
        <v>236</v>
      </c>
      <c r="I11" s="11" t="s">
        <v>237</v>
      </c>
      <c r="J11" s="11"/>
    </row>
    <row r="12" spans="1:10" x14ac:dyDescent="0.25">
      <c r="A12" s="11" t="s">
        <v>57</v>
      </c>
      <c r="B12" s="11" t="s">
        <v>35</v>
      </c>
      <c r="C12" s="11" t="s">
        <v>56</v>
      </c>
      <c r="D12" s="11">
        <v>1</v>
      </c>
      <c r="E12" s="11" t="s">
        <v>19</v>
      </c>
      <c r="F12" s="11"/>
      <c r="G12" s="12"/>
      <c r="H12" s="11" t="s">
        <v>236</v>
      </c>
      <c r="I12" s="11" t="s">
        <v>237</v>
      </c>
      <c r="J12" s="11"/>
    </row>
    <row r="13" spans="1:10" x14ac:dyDescent="0.25">
      <c r="A13" s="11" t="s">
        <v>59</v>
      </c>
      <c r="B13" s="11" t="s">
        <v>23</v>
      </c>
      <c r="C13" s="11" t="s">
        <v>58</v>
      </c>
      <c r="D13" s="11">
        <v>1</v>
      </c>
      <c r="E13" s="11" t="s">
        <v>19</v>
      </c>
      <c r="F13" s="11"/>
      <c r="G13" s="12"/>
      <c r="H13" s="11" t="s">
        <v>236</v>
      </c>
      <c r="I13" s="11" t="s">
        <v>237</v>
      </c>
      <c r="J13" s="11"/>
    </row>
    <row r="14" spans="1:10" x14ac:dyDescent="0.25">
      <c r="A14" s="11" t="s">
        <v>61</v>
      </c>
      <c r="B14" s="11" t="s">
        <v>23</v>
      </c>
      <c r="C14" s="11" t="s">
        <v>60</v>
      </c>
      <c r="D14" s="11">
        <v>1</v>
      </c>
      <c r="E14" s="11" t="s">
        <v>19</v>
      </c>
      <c r="F14" s="11"/>
      <c r="G14" s="12"/>
      <c r="H14" s="11" t="s">
        <v>236</v>
      </c>
      <c r="I14" s="11" t="s">
        <v>237</v>
      </c>
      <c r="J14" s="11"/>
    </row>
    <row r="15" spans="1:10" x14ac:dyDescent="0.25">
      <c r="A15" s="11" t="s">
        <v>64</v>
      </c>
      <c r="B15" s="11" t="s">
        <v>23</v>
      </c>
      <c r="C15" s="11" t="s">
        <v>62</v>
      </c>
      <c r="D15" s="11">
        <v>1</v>
      </c>
      <c r="E15" s="11" t="s">
        <v>19</v>
      </c>
      <c r="F15" s="11"/>
      <c r="G15" s="12"/>
      <c r="H15" s="11" t="s">
        <v>236</v>
      </c>
      <c r="I15" s="11" t="s">
        <v>237</v>
      </c>
      <c r="J15" s="11"/>
    </row>
    <row r="16" spans="1:10" x14ac:dyDescent="0.25">
      <c r="A16" s="11" t="s">
        <v>66</v>
      </c>
      <c r="B16" s="11" t="s">
        <v>23</v>
      </c>
      <c r="C16" s="11" t="s">
        <v>65</v>
      </c>
      <c r="D16" s="11">
        <v>1</v>
      </c>
      <c r="E16" s="11" t="s">
        <v>19</v>
      </c>
      <c r="F16" s="11"/>
      <c r="G16" s="12"/>
      <c r="H16" s="11" t="s">
        <v>236</v>
      </c>
      <c r="I16" s="11" t="s">
        <v>237</v>
      </c>
      <c r="J16" s="11"/>
    </row>
    <row r="17" spans="1:10" ht="30" x14ac:dyDescent="0.25">
      <c r="A17" s="11" t="s">
        <v>69</v>
      </c>
      <c r="B17" s="11" t="s">
        <v>51</v>
      </c>
      <c r="C17" s="11" t="s">
        <v>67</v>
      </c>
      <c r="D17" s="11">
        <v>1</v>
      </c>
      <c r="E17" s="11" t="s">
        <v>19</v>
      </c>
      <c r="F17" s="11"/>
      <c r="G17" s="12"/>
      <c r="H17" s="11" t="s">
        <v>236</v>
      </c>
      <c r="I17" s="11" t="s">
        <v>237</v>
      </c>
      <c r="J17" s="11"/>
    </row>
    <row r="18" spans="1:10" ht="30" x14ac:dyDescent="0.25">
      <c r="A18" s="11" t="s">
        <v>71</v>
      </c>
      <c r="B18" s="11" t="s">
        <v>51</v>
      </c>
      <c r="C18" s="11" t="s">
        <v>70</v>
      </c>
      <c r="D18" s="11">
        <v>1</v>
      </c>
      <c r="E18" s="11" t="s">
        <v>19</v>
      </c>
      <c r="F18" s="11"/>
      <c r="G18" s="12"/>
      <c r="H18" s="11" t="s">
        <v>236</v>
      </c>
      <c r="I18" s="11" t="s">
        <v>237</v>
      </c>
      <c r="J18" s="11"/>
    </row>
    <row r="19" spans="1:10" x14ac:dyDescent="0.25">
      <c r="A19" s="11" t="s">
        <v>73</v>
      </c>
      <c r="B19" s="11" t="s">
        <v>23</v>
      </c>
      <c r="C19" s="11" t="s">
        <v>72</v>
      </c>
      <c r="D19" s="11">
        <v>1</v>
      </c>
      <c r="E19" s="11" t="s">
        <v>19</v>
      </c>
      <c r="F19" s="11"/>
      <c r="G19" s="12"/>
      <c r="H19" s="11" t="s">
        <v>236</v>
      </c>
      <c r="I19" s="11" t="s">
        <v>237</v>
      </c>
      <c r="J19" s="11"/>
    </row>
    <row r="20" spans="1:10" x14ac:dyDescent="0.25">
      <c r="A20" s="11" t="s">
        <v>75</v>
      </c>
      <c r="B20" s="11" t="s">
        <v>23</v>
      </c>
      <c r="C20" s="11" t="s">
        <v>74</v>
      </c>
      <c r="D20" s="11">
        <v>1</v>
      </c>
      <c r="E20" s="11" t="s">
        <v>19</v>
      </c>
      <c r="F20" s="11"/>
      <c r="G20" s="12"/>
      <c r="H20" s="11" t="s">
        <v>236</v>
      </c>
      <c r="I20" s="11" t="s">
        <v>237</v>
      </c>
      <c r="J20" s="11"/>
    </row>
    <row r="21" spans="1:10" x14ac:dyDescent="0.25">
      <c r="A21" s="11" t="s">
        <v>77</v>
      </c>
      <c r="B21" s="11" t="s">
        <v>23</v>
      </c>
      <c r="C21" s="11" t="s">
        <v>76</v>
      </c>
      <c r="D21" s="11">
        <v>1</v>
      </c>
      <c r="E21" s="11" t="s">
        <v>19</v>
      </c>
      <c r="F21" s="11"/>
      <c r="G21" s="12"/>
      <c r="H21" s="11" t="s">
        <v>236</v>
      </c>
      <c r="I21" s="11" t="s">
        <v>237</v>
      </c>
      <c r="J21" s="11"/>
    </row>
    <row r="22" spans="1:10" x14ac:dyDescent="0.25">
      <c r="A22" s="11" t="s">
        <v>79</v>
      </c>
      <c r="B22" s="11" t="s">
        <v>23</v>
      </c>
      <c r="C22" s="11" t="s">
        <v>78</v>
      </c>
      <c r="D22" s="11">
        <v>1</v>
      </c>
      <c r="E22" s="11" t="s">
        <v>19</v>
      </c>
      <c r="F22" s="11"/>
      <c r="G22" s="12"/>
      <c r="H22" s="11" t="s">
        <v>236</v>
      </c>
      <c r="I22" s="11" t="s">
        <v>237</v>
      </c>
      <c r="J22" s="11"/>
    </row>
    <row r="23" spans="1:10" x14ac:dyDescent="0.25">
      <c r="A23" s="11" t="s">
        <v>81</v>
      </c>
      <c r="B23" s="11" t="s">
        <v>23</v>
      </c>
      <c r="C23" s="11" t="s">
        <v>80</v>
      </c>
      <c r="D23" s="11">
        <v>1</v>
      </c>
      <c r="E23" s="11" t="s">
        <v>19</v>
      </c>
      <c r="F23" s="11"/>
      <c r="G23" s="12"/>
      <c r="H23" s="11" t="s">
        <v>236</v>
      </c>
      <c r="I23" s="11" t="s">
        <v>237</v>
      </c>
      <c r="J23" s="11"/>
    </row>
    <row r="24" spans="1:10" x14ac:dyDescent="0.25">
      <c r="A24" s="11" t="s">
        <v>83</v>
      </c>
      <c r="B24" s="11" t="s">
        <v>23</v>
      </c>
      <c r="C24" s="11" t="s">
        <v>82</v>
      </c>
      <c r="D24" s="11">
        <v>1</v>
      </c>
      <c r="E24" s="11" t="s">
        <v>19</v>
      </c>
      <c r="F24" s="11"/>
      <c r="G24" s="12"/>
      <c r="H24" s="11" t="s">
        <v>236</v>
      </c>
      <c r="I24" s="11" t="s">
        <v>237</v>
      </c>
      <c r="J24" s="11"/>
    </row>
    <row r="25" spans="1:10" x14ac:dyDescent="0.25">
      <c r="A25" s="11" t="s">
        <v>85</v>
      </c>
      <c r="B25" s="11" t="s">
        <v>23</v>
      </c>
      <c r="C25" s="11" t="s">
        <v>84</v>
      </c>
      <c r="D25" s="11">
        <v>1</v>
      </c>
      <c r="E25" s="11" t="s">
        <v>19</v>
      </c>
      <c r="F25" s="11"/>
      <c r="G25" s="12"/>
      <c r="H25" s="11" t="s">
        <v>236</v>
      </c>
      <c r="I25" s="11" t="s">
        <v>237</v>
      </c>
      <c r="J25" s="11"/>
    </row>
    <row r="26" spans="1:10" x14ac:dyDescent="0.25">
      <c r="A26" s="11" t="s">
        <v>87</v>
      </c>
      <c r="B26" s="11" t="s">
        <v>23</v>
      </c>
      <c r="C26" s="11" t="s">
        <v>86</v>
      </c>
      <c r="D26" s="11">
        <v>1</v>
      </c>
      <c r="E26" s="11" t="s">
        <v>19</v>
      </c>
      <c r="F26" s="11"/>
      <c r="G26" s="12"/>
      <c r="H26" s="11" t="s">
        <v>236</v>
      </c>
      <c r="I26" s="11" t="s">
        <v>237</v>
      </c>
      <c r="J26" s="11"/>
    </row>
    <row r="27" spans="1:10" x14ac:dyDescent="0.25">
      <c r="A27" s="11" t="s">
        <v>89</v>
      </c>
      <c r="B27" s="11" t="s">
        <v>23</v>
      </c>
      <c r="C27" s="11" t="s">
        <v>88</v>
      </c>
      <c r="D27" s="11">
        <v>1</v>
      </c>
      <c r="E27" s="11" t="s">
        <v>19</v>
      </c>
      <c r="F27" s="11"/>
      <c r="G27" s="12"/>
      <c r="H27" s="11" t="s">
        <v>236</v>
      </c>
      <c r="I27" s="11" t="s">
        <v>237</v>
      </c>
      <c r="J27" s="11"/>
    </row>
    <row r="28" spans="1:10" x14ac:dyDescent="0.25">
      <c r="A28" s="11" t="s">
        <v>91</v>
      </c>
      <c r="B28" s="11" t="s">
        <v>23</v>
      </c>
      <c r="C28" s="11" t="s">
        <v>90</v>
      </c>
      <c r="D28" s="11">
        <v>1</v>
      </c>
      <c r="E28" s="11" t="s">
        <v>19</v>
      </c>
      <c r="F28" s="11"/>
      <c r="G28" s="12"/>
      <c r="H28" s="11" t="s">
        <v>236</v>
      </c>
      <c r="I28" s="11" t="s">
        <v>237</v>
      </c>
      <c r="J28" s="11"/>
    </row>
    <row r="29" spans="1:10" x14ac:dyDescent="0.25">
      <c r="A29" s="11" t="s">
        <v>93</v>
      </c>
      <c r="B29" s="11" t="s">
        <v>23</v>
      </c>
      <c r="C29" s="11" t="s">
        <v>92</v>
      </c>
      <c r="D29" s="11">
        <v>1</v>
      </c>
      <c r="E29" s="11" t="s">
        <v>19</v>
      </c>
      <c r="F29" s="11"/>
      <c r="G29" s="12"/>
      <c r="H29" s="11" t="s">
        <v>236</v>
      </c>
      <c r="I29" s="11" t="s">
        <v>237</v>
      </c>
      <c r="J29" s="11"/>
    </row>
    <row r="30" spans="1:10" x14ac:dyDescent="0.25">
      <c r="A30" s="11" t="s">
        <v>95</v>
      </c>
      <c r="B30" s="11" t="s">
        <v>23</v>
      </c>
      <c r="C30" s="11" t="s">
        <v>94</v>
      </c>
      <c r="D30" s="11">
        <v>1</v>
      </c>
      <c r="E30" s="11" t="s">
        <v>19</v>
      </c>
      <c r="F30" s="11"/>
      <c r="G30" s="12"/>
      <c r="H30" s="11" t="s">
        <v>236</v>
      </c>
      <c r="I30" s="11" t="s">
        <v>237</v>
      </c>
      <c r="J30" s="11"/>
    </row>
    <row r="31" spans="1:10" ht="30" x14ac:dyDescent="0.25">
      <c r="A31" s="11" t="s">
        <v>97</v>
      </c>
      <c r="B31" s="11" t="s">
        <v>51</v>
      </c>
      <c r="C31" s="11" t="s">
        <v>96</v>
      </c>
      <c r="D31" s="11">
        <v>1</v>
      </c>
      <c r="E31" s="11" t="s">
        <v>19</v>
      </c>
      <c r="F31" s="11"/>
      <c r="G31" s="12"/>
      <c r="H31" s="11" t="s">
        <v>236</v>
      </c>
      <c r="I31" s="11" t="s">
        <v>237</v>
      </c>
      <c r="J31" s="11"/>
    </row>
    <row r="32" spans="1:10" x14ac:dyDescent="0.25">
      <c r="A32" s="11" t="s">
        <v>99</v>
      </c>
      <c r="B32" s="11" t="s">
        <v>35</v>
      </c>
      <c r="C32" s="11" t="s">
        <v>98</v>
      </c>
      <c r="D32" s="11">
        <v>1</v>
      </c>
      <c r="E32" s="11" t="s">
        <v>19</v>
      </c>
      <c r="F32" s="11"/>
      <c r="G32" s="12"/>
      <c r="H32" s="11" t="s">
        <v>236</v>
      </c>
      <c r="I32" s="11" t="s">
        <v>237</v>
      </c>
      <c r="J32" s="11"/>
    </row>
    <row r="33" spans="1:10" x14ac:dyDescent="0.25">
      <c r="A33" s="11" t="s">
        <v>101</v>
      </c>
      <c r="B33" s="11" t="s">
        <v>35</v>
      </c>
      <c r="C33" s="11" t="s">
        <v>100</v>
      </c>
      <c r="D33" s="11">
        <v>1</v>
      </c>
      <c r="E33" s="11" t="s">
        <v>19</v>
      </c>
      <c r="F33" s="11"/>
      <c r="G33" s="12"/>
      <c r="H33" s="11" t="s">
        <v>236</v>
      </c>
      <c r="I33" s="11" t="s">
        <v>237</v>
      </c>
      <c r="J33" s="11"/>
    </row>
    <row r="34" spans="1:10" x14ac:dyDescent="0.25">
      <c r="A34" s="11" t="s">
        <v>103</v>
      </c>
      <c r="B34" s="11" t="s">
        <v>23</v>
      </c>
      <c r="C34" s="11" t="s">
        <v>102</v>
      </c>
      <c r="D34" s="11">
        <v>1</v>
      </c>
      <c r="E34" s="11" t="s">
        <v>19</v>
      </c>
      <c r="F34" s="11"/>
      <c r="G34" s="12"/>
      <c r="H34" s="11" t="s">
        <v>236</v>
      </c>
      <c r="I34" s="11" t="s">
        <v>237</v>
      </c>
      <c r="J34" s="11"/>
    </row>
    <row r="35" spans="1:10" x14ac:dyDescent="0.25">
      <c r="A35" s="11" t="s">
        <v>106</v>
      </c>
      <c r="B35" s="11" t="s">
        <v>105</v>
      </c>
      <c r="C35" s="11" t="s">
        <v>104</v>
      </c>
      <c r="D35" s="11">
        <v>1</v>
      </c>
      <c r="E35" s="11" t="s">
        <v>19</v>
      </c>
      <c r="F35" s="11"/>
      <c r="G35" s="12"/>
      <c r="H35" s="11" t="s">
        <v>236</v>
      </c>
      <c r="I35" s="11" t="s">
        <v>237</v>
      </c>
      <c r="J35" s="11"/>
    </row>
    <row r="36" spans="1:10" ht="30" x14ac:dyDescent="0.25">
      <c r="A36" s="11" t="s">
        <v>112</v>
      </c>
      <c r="B36" s="11" t="s">
        <v>108</v>
      </c>
      <c r="C36" s="11" t="s">
        <v>107</v>
      </c>
      <c r="D36" s="11">
        <v>1</v>
      </c>
      <c r="E36" s="11" t="s">
        <v>19</v>
      </c>
      <c r="F36" s="11" t="s">
        <v>238</v>
      </c>
      <c r="G36" s="12">
        <v>46327</v>
      </c>
      <c r="H36" s="11" t="s">
        <v>239</v>
      </c>
      <c r="I36" s="11" t="s">
        <v>237</v>
      </c>
      <c r="J36" s="46" t="s">
        <v>324</v>
      </c>
    </row>
    <row r="37" spans="1:10" x14ac:dyDescent="0.25">
      <c r="A37" s="11" t="s">
        <v>115</v>
      </c>
      <c r="B37" s="11" t="s">
        <v>108</v>
      </c>
      <c r="C37" s="11" t="s">
        <v>240</v>
      </c>
      <c r="D37" s="11">
        <v>2</v>
      </c>
      <c r="E37" s="11" t="s">
        <v>241</v>
      </c>
      <c r="F37" s="11" t="s">
        <v>242</v>
      </c>
      <c r="G37" s="12">
        <v>46296</v>
      </c>
      <c r="H37" s="11" t="s">
        <v>243</v>
      </c>
      <c r="I37" s="11" t="s">
        <v>237</v>
      </c>
      <c r="J37" s="11"/>
    </row>
    <row r="38" spans="1:10" ht="30" x14ac:dyDescent="0.25">
      <c r="A38" s="11" t="s">
        <v>120</v>
      </c>
      <c r="B38" s="11" t="s">
        <v>108</v>
      </c>
      <c r="C38" s="11" t="s">
        <v>244</v>
      </c>
      <c r="D38" s="11">
        <v>2</v>
      </c>
      <c r="E38" s="11" t="s">
        <v>241</v>
      </c>
      <c r="F38" s="11" t="s">
        <v>238</v>
      </c>
      <c r="G38" s="12">
        <v>46327</v>
      </c>
      <c r="H38" s="11" t="s">
        <v>239</v>
      </c>
      <c r="I38" s="11" t="s">
        <v>237</v>
      </c>
      <c r="J38" s="46" t="s">
        <v>324</v>
      </c>
    </row>
    <row r="39" spans="1:10" ht="30" x14ac:dyDescent="0.25">
      <c r="A39" s="11" t="s">
        <v>124</v>
      </c>
      <c r="B39" s="11" t="s">
        <v>123</v>
      </c>
      <c r="C39" s="11" t="s">
        <v>122</v>
      </c>
      <c r="D39" s="11">
        <v>1</v>
      </c>
      <c r="E39" s="11" t="s">
        <v>241</v>
      </c>
      <c r="F39" s="11" t="s">
        <v>242</v>
      </c>
      <c r="G39" s="12">
        <v>46296</v>
      </c>
      <c r="H39" s="11" t="s">
        <v>239</v>
      </c>
      <c r="I39" s="11" t="s">
        <v>237</v>
      </c>
      <c r="J39" s="46" t="s">
        <v>324</v>
      </c>
    </row>
    <row r="40" spans="1:10" ht="30" x14ac:dyDescent="0.25">
      <c r="A40" s="11" t="s">
        <v>126</v>
      </c>
      <c r="B40" s="11" t="s">
        <v>108</v>
      </c>
      <c r="C40" s="11" t="s">
        <v>125</v>
      </c>
      <c r="D40" s="11">
        <v>1</v>
      </c>
      <c r="E40" s="11" t="s">
        <v>241</v>
      </c>
      <c r="F40" s="11" t="s">
        <v>245</v>
      </c>
      <c r="G40" s="12">
        <v>46357</v>
      </c>
      <c r="H40" s="11" t="s">
        <v>239</v>
      </c>
      <c r="I40" s="11" t="s">
        <v>237</v>
      </c>
      <c r="J40" s="46" t="s">
        <v>324</v>
      </c>
    </row>
    <row r="41" spans="1:10" ht="30" x14ac:dyDescent="0.25">
      <c r="A41" s="11" t="s">
        <v>130</v>
      </c>
      <c r="B41" s="11" t="s">
        <v>108</v>
      </c>
      <c r="C41" s="11" t="s">
        <v>127</v>
      </c>
      <c r="D41" s="11">
        <v>1</v>
      </c>
      <c r="E41" s="11" t="s">
        <v>241</v>
      </c>
      <c r="F41" s="11" t="s">
        <v>246</v>
      </c>
      <c r="G41" s="12">
        <v>46237</v>
      </c>
      <c r="H41" s="11" t="s">
        <v>239</v>
      </c>
      <c r="I41" s="11" t="s">
        <v>237</v>
      </c>
      <c r="J41" s="46" t="s">
        <v>324</v>
      </c>
    </row>
    <row r="42" spans="1:10" ht="30" x14ac:dyDescent="0.25">
      <c r="A42" s="11" t="s">
        <v>132</v>
      </c>
      <c r="B42" s="11" t="s">
        <v>108</v>
      </c>
      <c r="C42" s="11" t="s">
        <v>247</v>
      </c>
      <c r="D42" s="11">
        <v>2</v>
      </c>
      <c r="E42" s="11" t="s">
        <v>241</v>
      </c>
      <c r="F42" s="11" t="s">
        <v>238</v>
      </c>
      <c r="G42" s="12">
        <v>46327</v>
      </c>
      <c r="H42" s="11" t="s">
        <v>239</v>
      </c>
      <c r="I42" s="11" t="s">
        <v>237</v>
      </c>
      <c r="J42" s="11"/>
    </row>
    <row r="43" spans="1:10" ht="30" x14ac:dyDescent="0.25">
      <c r="A43" s="11" t="s">
        <v>135</v>
      </c>
      <c r="B43" s="11" t="s">
        <v>108</v>
      </c>
      <c r="C43" s="11" t="s">
        <v>134</v>
      </c>
      <c r="D43" s="11">
        <v>1</v>
      </c>
      <c r="E43" s="11" t="s">
        <v>241</v>
      </c>
      <c r="F43" s="11" t="s">
        <v>245</v>
      </c>
      <c r="G43" s="12">
        <v>46357</v>
      </c>
      <c r="H43" s="11" t="s">
        <v>239</v>
      </c>
      <c r="I43" s="11" t="s">
        <v>237</v>
      </c>
      <c r="J43" s="11"/>
    </row>
    <row r="44" spans="1:10" x14ac:dyDescent="0.25">
      <c r="A44" s="11" t="s">
        <v>137</v>
      </c>
      <c r="B44" s="11" t="s">
        <v>108</v>
      </c>
      <c r="C44" s="11" t="s">
        <v>136</v>
      </c>
      <c r="D44" s="11">
        <v>1</v>
      </c>
      <c r="E44" s="11" t="s">
        <v>19</v>
      </c>
      <c r="F44" s="11"/>
      <c r="G44" s="12"/>
      <c r="H44" s="11" t="s">
        <v>236</v>
      </c>
      <c r="I44" s="11" t="s">
        <v>237</v>
      </c>
      <c r="J44" s="11"/>
    </row>
    <row r="45" spans="1:10" ht="30" x14ac:dyDescent="0.25">
      <c r="A45" s="11" t="s">
        <v>139</v>
      </c>
      <c r="B45" s="11" t="s">
        <v>248</v>
      </c>
      <c r="C45" s="11" t="s">
        <v>249</v>
      </c>
      <c r="D45" s="11">
        <v>2</v>
      </c>
      <c r="E45" s="11" t="s">
        <v>241</v>
      </c>
      <c r="F45" s="11" t="s">
        <v>238</v>
      </c>
      <c r="G45" s="12">
        <v>46327</v>
      </c>
      <c r="H45" s="11" t="s">
        <v>243</v>
      </c>
      <c r="I45" s="11" t="s">
        <v>237</v>
      </c>
      <c r="J45" s="11"/>
    </row>
    <row r="46" spans="1:10" x14ac:dyDescent="0.25">
      <c r="A46" s="11" t="s">
        <v>142</v>
      </c>
      <c r="B46" s="11" t="s">
        <v>23</v>
      </c>
      <c r="C46" s="11" t="s">
        <v>141</v>
      </c>
      <c r="D46" s="11">
        <v>1</v>
      </c>
      <c r="E46" s="11" t="s">
        <v>241</v>
      </c>
      <c r="F46" s="11"/>
      <c r="G46" s="12"/>
      <c r="H46" s="11" t="s">
        <v>236</v>
      </c>
      <c r="I46" s="11" t="s">
        <v>237</v>
      </c>
      <c r="J46" s="11"/>
    </row>
    <row r="47" spans="1:10" ht="30" x14ac:dyDescent="0.25">
      <c r="A47" s="11" t="s">
        <v>144</v>
      </c>
      <c r="B47" s="11" t="s">
        <v>51</v>
      </c>
      <c r="C47" s="11" t="s">
        <v>143</v>
      </c>
      <c r="D47" s="11">
        <v>1</v>
      </c>
      <c r="E47" s="11" t="s">
        <v>19</v>
      </c>
      <c r="F47" s="11"/>
      <c r="G47" s="12"/>
      <c r="H47" s="11" t="s">
        <v>236</v>
      </c>
      <c r="I47" s="11" t="s">
        <v>237</v>
      </c>
      <c r="J47" s="11"/>
    </row>
    <row r="48" spans="1:10" ht="30" x14ac:dyDescent="0.25">
      <c r="A48" s="11" t="s">
        <v>250</v>
      </c>
      <c r="B48" s="11" t="s">
        <v>248</v>
      </c>
      <c r="C48" s="11" t="s">
        <v>251</v>
      </c>
      <c r="D48" s="11">
        <v>2</v>
      </c>
      <c r="E48" s="11" t="s">
        <v>241</v>
      </c>
      <c r="F48" s="11" t="s">
        <v>252</v>
      </c>
      <c r="G48" s="12">
        <v>46266</v>
      </c>
      <c r="H48" s="11" t="s">
        <v>243</v>
      </c>
      <c r="I48" s="11" t="s">
        <v>237</v>
      </c>
      <c r="J48" s="11"/>
    </row>
    <row r="49" spans="1:10" x14ac:dyDescent="0.25">
      <c r="A49" s="11" t="s">
        <v>151</v>
      </c>
      <c r="B49" s="11" t="s">
        <v>23</v>
      </c>
      <c r="C49" s="11" t="s">
        <v>150</v>
      </c>
      <c r="D49" s="11">
        <v>1</v>
      </c>
      <c r="E49" s="11" t="s">
        <v>241</v>
      </c>
      <c r="F49" s="11"/>
      <c r="G49" s="12"/>
      <c r="H49" s="11" t="s">
        <v>236</v>
      </c>
      <c r="I49" s="11" t="s">
        <v>237</v>
      </c>
      <c r="J49" s="11"/>
    </row>
    <row r="50" spans="1:10" ht="30" x14ac:dyDescent="0.25">
      <c r="A50" s="11" t="s">
        <v>153</v>
      </c>
      <c r="B50" s="11" t="s">
        <v>123</v>
      </c>
      <c r="C50" s="11" t="s">
        <v>152</v>
      </c>
      <c r="D50" s="11">
        <v>1</v>
      </c>
      <c r="E50" s="11" t="s">
        <v>19</v>
      </c>
      <c r="F50" s="11" t="s">
        <v>238</v>
      </c>
      <c r="G50" s="12">
        <v>46327</v>
      </c>
      <c r="H50" s="11" t="s">
        <v>239</v>
      </c>
      <c r="I50" s="11" t="s">
        <v>237</v>
      </c>
      <c r="J50" s="11"/>
    </row>
    <row r="51" spans="1:10" x14ac:dyDescent="0.25">
      <c r="A51" s="11" t="s">
        <v>156</v>
      </c>
      <c r="B51" s="11" t="s">
        <v>108</v>
      </c>
      <c r="C51" s="11" t="s">
        <v>253</v>
      </c>
      <c r="D51" s="11">
        <v>2</v>
      </c>
      <c r="E51" s="11" t="s">
        <v>241</v>
      </c>
      <c r="F51" s="11" t="s">
        <v>246</v>
      </c>
      <c r="G51" s="12">
        <v>46237</v>
      </c>
      <c r="H51" s="11" t="s">
        <v>243</v>
      </c>
      <c r="I51" s="11" t="s">
        <v>237</v>
      </c>
      <c r="J51" s="11"/>
    </row>
    <row r="52" spans="1:10" ht="30" x14ac:dyDescent="0.25">
      <c r="A52" s="11" t="s">
        <v>159</v>
      </c>
      <c r="B52" s="11" t="s">
        <v>108</v>
      </c>
      <c r="C52" s="11" t="s">
        <v>254</v>
      </c>
      <c r="D52" s="11">
        <v>2</v>
      </c>
      <c r="E52" s="11" t="s">
        <v>241</v>
      </c>
      <c r="F52" s="11" t="s">
        <v>255</v>
      </c>
      <c r="G52" s="12">
        <v>46266</v>
      </c>
      <c r="H52" s="11" t="s">
        <v>239</v>
      </c>
      <c r="I52" s="11" t="s">
        <v>237</v>
      </c>
      <c r="J52" s="11"/>
    </row>
    <row r="53" spans="1:10" x14ac:dyDescent="0.25">
      <c r="A53" s="11" t="s">
        <v>162</v>
      </c>
      <c r="B53" s="11" t="s">
        <v>108</v>
      </c>
      <c r="C53" s="11" t="s">
        <v>161</v>
      </c>
      <c r="D53" s="11">
        <v>1</v>
      </c>
      <c r="E53" s="11" t="s">
        <v>19</v>
      </c>
      <c r="F53" s="11"/>
      <c r="G53" s="12"/>
      <c r="H53" s="11" t="s">
        <v>236</v>
      </c>
      <c r="I53" s="11" t="s">
        <v>237</v>
      </c>
      <c r="J53" s="11"/>
    </row>
    <row r="54" spans="1:10" ht="30" x14ac:dyDescent="0.25">
      <c r="A54" s="11" t="s">
        <v>165</v>
      </c>
      <c r="B54" s="11" t="s">
        <v>108</v>
      </c>
      <c r="C54" s="11" t="s">
        <v>256</v>
      </c>
      <c r="D54" s="11">
        <v>2</v>
      </c>
      <c r="E54" s="11" t="s">
        <v>241</v>
      </c>
      <c r="F54" s="11" t="s">
        <v>257</v>
      </c>
      <c r="G54" s="12">
        <v>46266</v>
      </c>
      <c r="H54" s="11" t="s">
        <v>239</v>
      </c>
      <c r="I54" s="11" t="s">
        <v>237</v>
      </c>
      <c r="J54" s="11"/>
    </row>
    <row r="55" spans="1:10" ht="30" x14ac:dyDescent="0.25">
      <c r="A55" s="11" t="s">
        <v>169</v>
      </c>
      <c r="B55" s="11" t="s">
        <v>108</v>
      </c>
      <c r="C55" s="11" t="s">
        <v>258</v>
      </c>
      <c r="D55" s="11">
        <v>2</v>
      </c>
      <c r="E55" s="11" t="s">
        <v>241</v>
      </c>
      <c r="F55" s="11" t="s">
        <v>238</v>
      </c>
      <c r="G55" s="12">
        <v>46327</v>
      </c>
      <c r="H55" s="11" t="s">
        <v>239</v>
      </c>
      <c r="I55" s="11" t="s">
        <v>237</v>
      </c>
      <c r="J55" s="11"/>
    </row>
    <row r="56" spans="1:10" ht="30" x14ac:dyDescent="0.25">
      <c r="A56" s="11" t="s">
        <v>172</v>
      </c>
      <c r="B56" s="11" t="s">
        <v>248</v>
      </c>
      <c r="C56" s="11" t="s">
        <v>259</v>
      </c>
      <c r="D56" s="11">
        <v>2</v>
      </c>
      <c r="E56" s="11" t="s">
        <v>241</v>
      </c>
      <c r="F56" s="11" t="s">
        <v>242</v>
      </c>
      <c r="G56" s="12">
        <v>46296</v>
      </c>
      <c r="H56" s="11" t="s">
        <v>243</v>
      </c>
      <c r="I56" s="11" t="s">
        <v>237</v>
      </c>
      <c r="J56" s="11"/>
    </row>
    <row r="57" spans="1:10" ht="30" x14ac:dyDescent="0.25">
      <c r="A57" s="11" t="s">
        <v>175</v>
      </c>
      <c r="B57" s="11" t="s">
        <v>108</v>
      </c>
      <c r="C57" s="11" t="s">
        <v>260</v>
      </c>
      <c r="D57" s="11">
        <v>2</v>
      </c>
      <c r="E57" s="11" t="s">
        <v>241</v>
      </c>
      <c r="F57" s="11" t="s">
        <v>242</v>
      </c>
      <c r="G57" s="12">
        <v>46296</v>
      </c>
      <c r="H57" s="11" t="s">
        <v>239</v>
      </c>
      <c r="I57" s="11" t="s">
        <v>237</v>
      </c>
      <c r="J57" s="11"/>
    </row>
    <row r="58" spans="1:10" x14ac:dyDescent="0.25">
      <c r="A58" s="11" t="s">
        <v>178</v>
      </c>
      <c r="B58" s="11" t="s">
        <v>23</v>
      </c>
      <c r="C58" s="11" t="s">
        <v>177</v>
      </c>
      <c r="D58" s="11">
        <v>1</v>
      </c>
      <c r="E58" s="11" t="s">
        <v>19</v>
      </c>
      <c r="F58" s="11"/>
      <c r="G58" s="12"/>
      <c r="H58" s="11" t="s">
        <v>236</v>
      </c>
      <c r="I58" s="11" t="s">
        <v>237</v>
      </c>
      <c r="J58" s="11"/>
    </row>
    <row r="59" spans="1:10" x14ac:dyDescent="0.25">
      <c r="A59" s="11" t="s">
        <v>180</v>
      </c>
      <c r="B59" s="11" t="s">
        <v>23</v>
      </c>
      <c r="C59" s="11" t="s">
        <v>179</v>
      </c>
      <c r="D59" s="11">
        <v>1</v>
      </c>
      <c r="E59" s="11" t="s">
        <v>19</v>
      </c>
      <c r="F59" s="11"/>
      <c r="G59" s="12"/>
      <c r="H59" s="11" t="s">
        <v>236</v>
      </c>
      <c r="I59" s="11" t="s">
        <v>237</v>
      </c>
      <c r="J59" s="11"/>
    </row>
    <row r="60" spans="1:10" ht="30" x14ac:dyDescent="0.25">
      <c r="A60" s="11" t="s">
        <v>182</v>
      </c>
      <c r="B60" s="11" t="s">
        <v>51</v>
      </c>
      <c r="C60" s="11" t="s">
        <v>181</v>
      </c>
      <c r="D60" s="11">
        <v>1</v>
      </c>
      <c r="E60" s="11" t="s">
        <v>19</v>
      </c>
      <c r="F60" s="11"/>
      <c r="G60" s="12"/>
      <c r="H60" s="11" t="s">
        <v>236</v>
      </c>
      <c r="I60" s="11" t="s">
        <v>237</v>
      </c>
      <c r="J60" s="11"/>
    </row>
    <row r="61" spans="1:10" x14ac:dyDescent="0.25">
      <c r="A61" s="11" t="s">
        <v>184</v>
      </c>
      <c r="B61" s="11" t="s">
        <v>108</v>
      </c>
      <c r="C61" s="11" t="s">
        <v>261</v>
      </c>
      <c r="D61" s="11">
        <v>2</v>
      </c>
      <c r="E61" s="11" t="s">
        <v>241</v>
      </c>
      <c r="F61" s="11" t="s">
        <v>252</v>
      </c>
      <c r="G61" s="12">
        <v>46266</v>
      </c>
      <c r="H61" s="11" t="s">
        <v>243</v>
      </c>
      <c r="I61" s="11" t="s">
        <v>237</v>
      </c>
      <c r="J61" s="11"/>
    </row>
    <row r="62" spans="1:10" ht="30" x14ac:dyDescent="0.25">
      <c r="A62" s="11" t="s">
        <v>187</v>
      </c>
      <c r="B62" s="11" t="s">
        <v>108</v>
      </c>
      <c r="C62" s="11" t="s">
        <v>262</v>
      </c>
      <c r="D62" s="11">
        <v>2</v>
      </c>
      <c r="E62" s="11" t="s">
        <v>241</v>
      </c>
      <c r="F62" s="11" t="s">
        <v>245</v>
      </c>
      <c r="G62" s="12">
        <v>46357</v>
      </c>
      <c r="H62" s="11" t="s">
        <v>239</v>
      </c>
      <c r="I62" s="11" t="s">
        <v>237</v>
      </c>
      <c r="J62" s="11"/>
    </row>
    <row r="63" spans="1:10" ht="30" x14ac:dyDescent="0.25">
      <c r="A63" s="11" t="s">
        <v>191</v>
      </c>
      <c r="B63" s="11" t="s">
        <v>108</v>
      </c>
      <c r="C63" s="11" t="s">
        <v>263</v>
      </c>
      <c r="D63" s="11">
        <v>2</v>
      </c>
      <c r="E63" s="11" t="s">
        <v>241</v>
      </c>
      <c r="F63" s="11" t="s">
        <v>242</v>
      </c>
      <c r="G63" s="12">
        <v>46296</v>
      </c>
      <c r="H63" s="11" t="s">
        <v>239</v>
      </c>
      <c r="I63" s="11" t="s">
        <v>237</v>
      </c>
      <c r="J63" s="11"/>
    </row>
    <row r="64" spans="1:10" x14ac:dyDescent="0.25">
      <c r="A64" s="11" t="s">
        <v>195</v>
      </c>
      <c r="B64" s="11" t="s">
        <v>108</v>
      </c>
      <c r="C64" s="11" t="s">
        <v>264</v>
      </c>
      <c r="D64" s="11">
        <v>2</v>
      </c>
      <c r="E64" s="11" t="s">
        <v>241</v>
      </c>
      <c r="F64" s="11"/>
      <c r="G64" s="12"/>
      <c r="H64" s="11" t="s">
        <v>236</v>
      </c>
      <c r="I64" s="11" t="s">
        <v>237</v>
      </c>
      <c r="J64" s="11"/>
    </row>
    <row r="65" spans="1:10" x14ac:dyDescent="0.25">
      <c r="A65" s="11" t="s">
        <v>146</v>
      </c>
      <c r="B65" s="11" t="s">
        <v>108</v>
      </c>
      <c r="C65" s="11" t="s">
        <v>265</v>
      </c>
      <c r="D65" s="11">
        <v>2</v>
      </c>
      <c r="E65" s="11" t="s">
        <v>241</v>
      </c>
      <c r="F65" s="11" t="s">
        <v>238</v>
      </c>
      <c r="G65" s="12">
        <v>46327</v>
      </c>
      <c r="H65" s="11" t="s">
        <v>243</v>
      </c>
      <c r="I65" s="11" t="s">
        <v>237</v>
      </c>
      <c r="J65" s="11"/>
    </row>
    <row r="66" spans="1:10" x14ac:dyDescent="0.25">
      <c r="A66" s="11" t="s">
        <v>198</v>
      </c>
      <c r="B66" s="11" t="s">
        <v>108</v>
      </c>
      <c r="C66" s="11" t="s">
        <v>266</v>
      </c>
      <c r="D66" s="11">
        <v>2</v>
      </c>
      <c r="E66" s="11" t="s">
        <v>241</v>
      </c>
      <c r="F66" s="11" t="s">
        <v>242</v>
      </c>
      <c r="G66" s="12">
        <v>46296</v>
      </c>
      <c r="H66" s="11" t="s">
        <v>243</v>
      </c>
      <c r="I66" s="11" t="s">
        <v>237</v>
      </c>
      <c r="J66" s="11"/>
    </row>
    <row r="67" spans="1:10" ht="30" x14ac:dyDescent="0.25">
      <c r="A67" s="11" t="s">
        <v>201</v>
      </c>
      <c r="B67" s="11" t="s">
        <v>108</v>
      </c>
      <c r="C67" s="11" t="s">
        <v>200</v>
      </c>
      <c r="D67" s="11">
        <v>1</v>
      </c>
      <c r="E67" s="11" t="s">
        <v>19</v>
      </c>
      <c r="F67" s="11" t="s">
        <v>238</v>
      </c>
      <c r="G67" s="12">
        <v>46327</v>
      </c>
      <c r="H67" s="11" t="s">
        <v>239</v>
      </c>
      <c r="I67" s="11" t="s">
        <v>237</v>
      </c>
      <c r="J67" s="11"/>
    </row>
    <row r="68" spans="1:10" x14ac:dyDescent="0.25">
      <c r="A68" s="11" t="s">
        <v>203</v>
      </c>
      <c r="B68" s="11" t="s">
        <v>35</v>
      </c>
      <c r="C68" s="11" t="s">
        <v>202</v>
      </c>
      <c r="D68" s="11">
        <v>1</v>
      </c>
      <c r="E68" s="11" t="s">
        <v>19</v>
      </c>
      <c r="F68" s="11"/>
      <c r="G68" s="12"/>
      <c r="H68" s="11" t="s">
        <v>236</v>
      </c>
      <c r="I68" s="11" t="s">
        <v>237</v>
      </c>
      <c r="J68" s="11"/>
    </row>
    <row r="69" spans="1:10" x14ac:dyDescent="0.25">
      <c r="A69" s="11" t="s">
        <v>205</v>
      </c>
      <c r="B69" s="11" t="s">
        <v>35</v>
      </c>
      <c r="C69" s="11" t="s">
        <v>204</v>
      </c>
      <c r="D69" s="11">
        <v>1</v>
      </c>
      <c r="E69" s="11" t="s">
        <v>19</v>
      </c>
      <c r="F69" s="11"/>
      <c r="G69" s="12"/>
      <c r="H69" s="11" t="s">
        <v>236</v>
      </c>
      <c r="I69" s="11" t="s">
        <v>237</v>
      </c>
      <c r="J69" s="11"/>
    </row>
    <row r="70" spans="1:10" x14ac:dyDescent="0.25">
      <c r="A70" s="11" t="s">
        <v>207</v>
      </c>
      <c r="B70" s="11" t="s">
        <v>35</v>
      </c>
      <c r="C70" s="11" t="s">
        <v>206</v>
      </c>
      <c r="D70" s="11">
        <v>1</v>
      </c>
      <c r="E70" s="11" t="s">
        <v>19</v>
      </c>
      <c r="F70" s="11"/>
      <c r="G70" s="12"/>
      <c r="H70" s="11" t="s">
        <v>236</v>
      </c>
      <c r="I70" s="11" t="s">
        <v>237</v>
      </c>
      <c r="J70" s="11"/>
    </row>
    <row r="71" spans="1:10" x14ac:dyDescent="0.25">
      <c r="A71" s="11" t="s">
        <v>209</v>
      </c>
      <c r="B71" s="11" t="s">
        <v>35</v>
      </c>
      <c r="C71" s="11" t="s">
        <v>208</v>
      </c>
      <c r="D71" s="11">
        <v>1</v>
      </c>
      <c r="E71" s="11" t="s">
        <v>19</v>
      </c>
      <c r="F71" s="11"/>
      <c r="G71" s="12"/>
      <c r="H71" s="11" t="s">
        <v>236</v>
      </c>
      <c r="I71" s="11" t="s">
        <v>237</v>
      </c>
      <c r="J71" s="11"/>
    </row>
  </sheetData>
  <autoFilter ref="A1:J71" xr:uid="{00000000-0001-0000-0300-000000000000}"/>
  <conditionalFormatting sqref="H2:H71">
    <cfRule type="expression" dxfId="1" priority="1">
      <formula>H2="FICA LIVRE APÓS ÚLTIMA SAÍDA"</formula>
    </cfRule>
    <cfRule type="expression" dxfId="0" priority="2">
      <formula>H2="MANTER - AINDA HÁ EQUIPE"</formula>
    </cfRule>
  </conditionalFormatting>
  <dataValidations count="1">
    <dataValidation type="list" sqref="I2:I71" xr:uid="{00000000-0002-0000-0300-000000000000}">
      <formula1>"A definir,Devolver,Remanejar,Manter,Reserva"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097A-0DD0-4E85-8464-4C10BF235571}">
  <sheetPr filterMode="1"/>
  <dimension ref="A1:F98"/>
  <sheetViews>
    <sheetView topLeftCell="A80" workbookViewId="0">
      <selection activeCell="A5" sqref="A5:A97"/>
    </sheetView>
  </sheetViews>
  <sheetFormatPr defaultRowHeight="15" x14ac:dyDescent="0.25"/>
  <cols>
    <col min="1" max="1" width="8" bestFit="1" customWidth="1"/>
    <col min="2" max="2" width="13.140625" bestFit="1" customWidth="1"/>
    <col min="3" max="3" width="15.28515625" bestFit="1" customWidth="1"/>
    <col min="4" max="4" width="13.140625" bestFit="1" customWidth="1"/>
    <col min="5" max="5" width="13.5703125" customWidth="1"/>
    <col min="6" max="6" width="12.28515625" bestFit="1" customWidth="1"/>
  </cols>
  <sheetData>
    <row r="1" spans="1:5" x14ac:dyDescent="0.25">
      <c r="A1" s="80" t="s">
        <v>226</v>
      </c>
      <c r="B1" s="80" t="s">
        <v>363</v>
      </c>
      <c r="C1" s="80" t="s">
        <v>374</v>
      </c>
      <c r="D1" s="80" t="s">
        <v>372</v>
      </c>
      <c r="E1" s="81" t="s">
        <v>380</v>
      </c>
    </row>
    <row r="2" spans="1:5" hidden="1" x14ac:dyDescent="0.25">
      <c r="A2" s="79" t="s">
        <v>332</v>
      </c>
      <c r="B2" s="82" t="s">
        <v>364</v>
      </c>
      <c r="C2" s="82" t="s">
        <v>42</v>
      </c>
      <c r="D2" s="82" t="s">
        <v>376</v>
      </c>
      <c r="E2" t="str">
        <f>_xlfn.XLOOKUP(A2,[1]Dados!$C$13:$C$109,[1]Dados!$DQ$13:$DQ$109,0)</f>
        <v>CANINDÉ-CE</v>
      </c>
    </row>
    <row r="3" spans="1:5" hidden="1" x14ac:dyDescent="0.25">
      <c r="A3" s="79" t="s">
        <v>333</v>
      </c>
      <c r="B3" s="82" t="s">
        <v>364</v>
      </c>
      <c r="C3" s="82" t="s">
        <v>381</v>
      </c>
      <c r="D3" s="82" t="s">
        <v>381</v>
      </c>
      <c r="E3" t="str">
        <f>_xlfn.XLOOKUP(A3,[1]Dados!$C$13:$C$109,[1]Dados!$DQ$13:$DQ$109,0)</f>
        <v>CANINDÉ-CE</v>
      </c>
    </row>
    <row r="4" spans="1:5" hidden="1" x14ac:dyDescent="0.25">
      <c r="A4" s="79" t="s">
        <v>334</v>
      </c>
      <c r="B4" s="82" t="s">
        <v>365</v>
      </c>
      <c r="C4" s="82" t="s">
        <v>381</v>
      </c>
      <c r="D4" s="82" t="s">
        <v>381</v>
      </c>
      <c r="E4" t="str">
        <f>_xlfn.XLOOKUP(A4,[1]Dados!$C$13:$C$109,[1]Dados!$DQ$13:$DQ$109,0)</f>
        <v>CANINDÉ-CE</v>
      </c>
    </row>
    <row r="5" spans="1:5" x14ac:dyDescent="0.25">
      <c r="A5" s="83" t="s">
        <v>139</v>
      </c>
      <c r="B5" s="84" t="s">
        <v>366</v>
      </c>
      <c r="C5" s="82" t="str">
        <f>_xlfn.XLOOKUP(A5,Tabela1[PLACA],Tabela1[Equipes],0)</f>
        <v>NVR-RD-21D</v>
      </c>
      <c r="D5" s="82"/>
      <c r="E5" t="str">
        <f>_xlfn.XLOOKUP(A5,[1]Dados!$C$13:$C$109,[1]Dados!$DQ$13:$DQ$109,0)</f>
        <v>NOVA RUSSAS-CE</v>
      </c>
    </row>
    <row r="6" spans="1:5" x14ac:dyDescent="0.25">
      <c r="A6" s="83" t="s">
        <v>195</v>
      </c>
      <c r="B6" s="84" t="s">
        <v>366</v>
      </c>
      <c r="C6" s="82" t="str">
        <f>_xlfn.XLOOKUP(A6,Tabela1[PLACA],Tabela1[Equipes],0)</f>
        <v>NVI-RD-21B</v>
      </c>
      <c r="D6" s="82"/>
      <c r="E6" t="str">
        <f>_xlfn.XLOOKUP(A6,[1]Dados!$C$13:$C$109,[1]Dados!$DQ$13:$DQ$109,0)</f>
        <v>IPU-CE</v>
      </c>
    </row>
    <row r="7" spans="1:5" x14ac:dyDescent="0.25">
      <c r="A7" s="83" t="s">
        <v>151</v>
      </c>
      <c r="B7" s="84" t="s">
        <v>366</v>
      </c>
      <c r="C7" s="82" t="str">
        <f>_xlfn.XLOOKUP(A7,Tabela1[PLACA],Tabela1[Equipes],0)</f>
        <v>QXD-LM-25B</v>
      </c>
      <c r="D7" s="82"/>
      <c r="E7" t="str">
        <f>_xlfn.XLOOKUP(A7,[1]Dados!$C$13:$C$109,[1]Dados!$DQ$13:$DQ$109,0)</f>
        <v>QUIXADÁ-CE</v>
      </c>
    </row>
    <row r="8" spans="1:5" x14ac:dyDescent="0.25">
      <c r="A8" s="83" t="s">
        <v>165</v>
      </c>
      <c r="B8" s="84" t="s">
        <v>366</v>
      </c>
      <c r="C8" s="82" t="str">
        <f>_xlfn.XLOOKUP(A8,Tabela1[PLACA],Tabela1[Equipes],0)</f>
        <v>CNI-RD-21B</v>
      </c>
      <c r="D8" s="82"/>
      <c r="E8" t="str">
        <f>_xlfn.XLOOKUP(A8,[1]Dados!$C$13:$C$109,[1]Dados!$DQ$13:$DQ$109,0)</f>
        <v>CANINDÉ-CE</v>
      </c>
    </row>
    <row r="9" spans="1:5" hidden="1" x14ac:dyDescent="0.25">
      <c r="A9" s="79" t="s">
        <v>77</v>
      </c>
      <c r="B9" s="82" t="s">
        <v>367</v>
      </c>
      <c r="C9" s="82" t="str">
        <f>_xlfn.XLOOKUP(A9,Tabela1[PLACA],Tabela1[Equipes],0)</f>
        <v>QXD-LM-23B</v>
      </c>
      <c r="D9" s="82"/>
      <c r="E9" t="str">
        <f>_xlfn.XLOOKUP(A9,[1]Dados!$C$13:$C$109,[1]Dados!$DQ$13:$DQ$109,0)</f>
        <v>QUIXADÁ-CE</v>
      </c>
    </row>
    <row r="10" spans="1:5" hidden="1" x14ac:dyDescent="0.25">
      <c r="A10" s="79" t="s">
        <v>79</v>
      </c>
      <c r="B10" s="82" t="s">
        <v>367</v>
      </c>
      <c r="C10" s="82" t="str">
        <f>_xlfn.XLOOKUP(A10,Tabela1[PLACA],Tabela1[Equipes],0)</f>
        <v>CND-LM-23B</v>
      </c>
      <c r="D10" s="82"/>
      <c r="E10" t="str">
        <f>_xlfn.XLOOKUP(A10,[1]Dados!$C$13:$C$109,[1]Dados!$DQ$13:$DQ$109,0)</f>
        <v>CANINDÉ-CE</v>
      </c>
    </row>
    <row r="11" spans="1:5" hidden="1" x14ac:dyDescent="0.25">
      <c r="A11" s="79" t="s">
        <v>81</v>
      </c>
      <c r="B11" s="82" t="s">
        <v>367</v>
      </c>
      <c r="C11" s="82" t="str">
        <f>_xlfn.XLOOKUP(A11,Tabela1[PLACA],Tabela1[Equipes],0)</f>
        <v>NVR-LM-23B</v>
      </c>
      <c r="D11" s="82"/>
      <c r="E11" t="str">
        <f>_xlfn.XLOOKUP(A11,[1]Dados!$C$13:$C$109,[1]Dados!$DQ$13:$DQ$109,0)</f>
        <v>IPU-CE</v>
      </c>
    </row>
    <row r="12" spans="1:5" hidden="1" x14ac:dyDescent="0.25">
      <c r="A12" s="79" t="s">
        <v>335</v>
      </c>
      <c r="B12" s="82" t="s">
        <v>367</v>
      </c>
      <c r="C12" s="82">
        <f>_xlfn.XLOOKUP(A12,Tabela1[PLACA],Tabela1[Equipes],0)</f>
        <v>0</v>
      </c>
      <c r="D12" s="82"/>
      <c r="E12" t="str">
        <f>_xlfn.XLOOKUP(A12,[1]Dados!$C$13:$C$109,[1]Dados!$DQ$13:$DQ$109,0)</f>
        <v>CANINDÉ-CE</v>
      </c>
    </row>
    <row r="13" spans="1:5" hidden="1" x14ac:dyDescent="0.25">
      <c r="A13" s="79" t="s">
        <v>49</v>
      </c>
      <c r="B13" s="82" t="s">
        <v>367</v>
      </c>
      <c r="C13" s="82" t="str">
        <f>_xlfn.XLOOKUP(A13,Tabela1[PLACA],Tabela1[Equipes],0)</f>
        <v>NVR-LM-22B</v>
      </c>
      <c r="D13" s="82"/>
      <c r="E13" t="str">
        <f>_xlfn.XLOOKUP(A13,[1]Dados!$C$13:$C$109,[1]Dados!$DQ$13:$DQ$109,0)</f>
        <v>NOVA RUSSAS-CE</v>
      </c>
    </row>
    <row r="14" spans="1:5" hidden="1" x14ac:dyDescent="0.25">
      <c r="A14" s="79" t="s">
        <v>53</v>
      </c>
      <c r="B14" s="82" t="s">
        <v>367</v>
      </c>
      <c r="C14" s="82" t="str">
        <f>_xlfn.XLOOKUP(A14,Tabela1[PLACA],Tabela1[Equipes],0)</f>
        <v>CNB-LM-27B</v>
      </c>
      <c r="D14" s="82"/>
      <c r="E14" t="str">
        <f>_xlfn.XLOOKUP(A14,[1]Dados!$C$13:$C$109,[1]Dados!$DQ$13:$DQ$109,0)</f>
        <v>NOVA RUSSAS-CE</v>
      </c>
    </row>
    <row r="15" spans="1:5" hidden="1" x14ac:dyDescent="0.25">
      <c r="A15" s="79" t="s">
        <v>336</v>
      </c>
      <c r="B15" s="82" t="s">
        <v>367</v>
      </c>
      <c r="C15" s="82">
        <f>_xlfn.XLOOKUP(A15,Tabela1[PLACA],Tabela1[Equipes],0)</f>
        <v>0</v>
      </c>
      <c r="D15" s="82"/>
      <c r="E15" t="str">
        <f>_xlfn.XLOOKUP(A15,[1]Dados!$C$13:$C$109,[1]Dados!$DQ$13:$DQ$109,0)</f>
        <v>CANINDÉ-CE</v>
      </c>
    </row>
    <row r="16" spans="1:5" hidden="1" x14ac:dyDescent="0.25">
      <c r="A16" s="79" t="s">
        <v>101</v>
      </c>
      <c r="B16" s="82" t="s">
        <v>367</v>
      </c>
      <c r="C16" s="82" t="str">
        <f>_xlfn.XLOOKUP(A16,Tabela1[PLACA],Tabela1[Equipes],0)</f>
        <v>CND-MO-23B</v>
      </c>
      <c r="D16" s="82"/>
      <c r="E16" t="str">
        <f>_xlfn.XLOOKUP(A16,[1]Dados!$C$13:$C$109,[1]Dados!$DQ$13:$DQ$109,0)</f>
        <v>MADALENA-CE</v>
      </c>
    </row>
    <row r="17" spans="1:5" hidden="1" x14ac:dyDescent="0.25">
      <c r="A17" s="79" t="s">
        <v>33</v>
      </c>
      <c r="B17" s="82" t="s">
        <v>367</v>
      </c>
      <c r="C17" s="82" t="str">
        <f>_xlfn.XLOOKUP(A17,Tabela1[PLACA],Tabela1[Equipes],0)</f>
        <v>CND-LM-25B</v>
      </c>
      <c r="D17" s="82"/>
      <c r="E17" t="str">
        <f>_xlfn.XLOOKUP(A17,[1]Dados!$C$13:$C$109,[1]Dados!$DQ$13:$DQ$109,0)</f>
        <v>CANINDÉ-CE</v>
      </c>
    </row>
    <row r="18" spans="1:5" hidden="1" x14ac:dyDescent="0.25">
      <c r="A18" s="79" t="s">
        <v>75</v>
      </c>
      <c r="B18" s="82" t="s">
        <v>367</v>
      </c>
      <c r="C18" s="82" t="str">
        <f>_xlfn.XLOOKUP(A18,Tabela1[PLACA],Tabela1[Equipes],0)</f>
        <v>NVR-LM-21B</v>
      </c>
      <c r="D18" s="82"/>
      <c r="E18" t="str">
        <f>_xlfn.XLOOKUP(A18,[1]Dados!$C$13:$C$109,[1]Dados!$DQ$13:$DQ$109,0)</f>
        <v>NOVA RUSSAS-CE</v>
      </c>
    </row>
    <row r="19" spans="1:5" hidden="1" x14ac:dyDescent="0.25">
      <c r="A19" s="79" t="s">
        <v>55</v>
      </c>
      <c r="B19" s="82" t="s">
        <v>367</v>
      </c>
      <c r="C19" s="82" t="str">
        <f>_xlfn.XLOOKUP(A19,Tabela1[PLACA],Tabela1[Equipes],0)</f>
        <v>CAT-LM-23B</v>
      </c>
      <c r="D19" s="82"/>
      <c r="E19" t="str">
        <f>_xlfn.XLOOKUP(A19,[1]Dados!$C$13:$C$109,[1]Dados!$DQ$13:$DQ$109,0)</f>
        <v>CRATEÚS-CE</v>
      </c>
    </row>
    <row r="20" spans="1:5" hidden="1" x14ac:dyDescent="0.25">
      <c r="A20" s="79" t="s">
        <v>31</v>
      </c>
      <c r="B20" s="82" t="s">
        <v>367</v>
      </c>
      <c r="C20" s="82" t="str">
        <f>_xlfn.XLOOKUP(A20,Tabela1[PLACA],Tabela1[Equipes],0)</f>
        <v>QXD-LM-24B</v>
      </c>
      <c r="D20" s="82"/>
      <c r="E20" t="str">
        <f>_xlfn.XLOOKUP(A20,[1]Dados!$C$13:$C$109,[1]Dados!$DQ$13:$DQ$109,0)</f>
        <v>QUIXADÁ-CE</v>
      </c>
    </row>
    <row r="21" spans="1:5" hidden="1" x14ac:dyDescent="0.25">
      <c r="A21" s="79" t="s">
        <v>57</v>
      </c>
      <c r="B21" s="82" t="s">
        <v>367</v>
      </c>
      <c r="C21" s="82" t="str">
        <f>_xlfn.XLOOKUP(A21,Tabela1[PLACA],Tabela1[Equipes],0)</f>
        <v>NVR-MO-21B</v>
      </c>
      <c r="D21" s="82"/>
      <c r="E21" t="str">
        <f>_xlfn.XLOOKUP(A21,[1]Dados!$C$13:$C$109,[1]Dados!$DQ$13:$DQ$109,0)</f>
        <v>NOVA RUSSAS-CE</v>
      </c>
    </row>
    <row r="22" spans="1:5" hidden="1" x14ac:dyDescent="0.25">
      <c r="A22" s="79" t="s">
        <v>59</v>
      </c>
      <c r="B22" s="82" t="s">
        <v>367</v>
      </c>
      <c r="C22" s="82" t="str">
        <f>_xlfn.XLOOKUP(A22,Tabela1[PLACA],Tabela1[Equipes],0)</f>
        <v>NVR-LM-25B</v>
      </c>
      <c r="D22" s="82"/>
      <c r="E22" t="str">
        <f>_xlfn.XLOOKUP(A22,[1]Dados!$C$13:$C$109,[1]Dados!$DQ$13:$DQ$109,0)</f>
        <v>NOVA RUSSAS-CE</v>
      </c>
    </row>
    <row r="23" spans="1:5" hidden="1" x14ac:dyDescent="0.25">
      <c r="A23" s="79" t="s">
        <v>61</v>
      </c>
      <c r="B23" s="82" t="s">
        <v>367</v>
      </c>
      <c r="C23" s="82" t="str">
        <f>_xlfn.XLOOKUP(A23,Tabela1[PLACA],Tabela1[Equipes],0)</f>
        <v>CAT-LM-21B</v>
      </c>
      <c r="D23" s="82"/>
      <c r="E23" t="str">
        <f>_xlfn.XLOOKUP(A23,[1]Dados!$C$13:$C$109,[1]Dados!$DQ$13:$DQ$109,0)</f>
        <v>CRATEÚS-CE</v>
      </c>
    </row>
    <row r="24" spans="1:5" hidden="1" x14ac:dyDescent="0.25">
      <c r="A24" s="79" t="s">
        <v>93</v>
      </c>
      <c r="B24" s="82" t="s">
        <v>367</v>
      </c>
      <c r="C24" s="82" t="str">
        <f>_xlfn.XLOOKUP(A24,Tabela1[PLACA],Tabela1[Equipes],0)</f>
        <v>CND-LM-29B</v>
      </c>
      <c r="D24" s="82"/>
      <c r="E24" t="str">
        <f>_xlfn.XLOOKUP(A24,[1]Dados!$C$13:$C$109,[1]Dados!$DQ$13:$DQ$109,0)</f>
        <v>QUIXADÁ-CE</v>
      </c>
    </row>
    <row r="25" spans="1:5" hidden="1" x14ac:dyDescent="0.25">
      <c r="A25" s="79" t="s">
        <v>95</v>
      </c>
      <c r="B25" s="82" t="s">
        <v>367</v>
      </c>
      <c r="C25" s="82" t="str">
        <f>_xlfn.XLOOKUP(A25,Tabela1[PLACA],Tabela1[Equipes],0)</f>
        <v>QXD-LM-27B</v>
      </c>
      <c r="D25" s="82"/>
      <c r="E25" t="str">
        <f>_xlfn.XLOOKUP(A25,[1]Dados!$C$13:$C$109,[1]Dados!$DQ$13:$DQ$109,0)</f>
        <v>QUIXADÁ-CE</v>
      </c>
    </row>
    <row r="26" spans="1:5" hidden="1" x14ac:dyDescent="0.25">
      <c r="A26" s="79" t="s">
        <v>337</v>
      </c>
      <c r="B26" s="82" t="s">
        <v>367</v>
      </c>
      <c r="C26" s="82">
        <f>_xlfn.XLOOKUP(A26,Tabela1[PLACA],Tabela1[Equipes],0)</f>
        <v>0</v>
      </c>
      <c r="D26" s="82"/>
      <c r="E26" t="str">
        <f>_xlfn.XLOOKUP(A26,[1]Dados!$C$13:$C$109,[1]Dados!$DQ$13:$DQ$109,0)</f>
        <v>QUIXADÁ-CE</v>
      </c>
    </row>
    <row r="27" spans="1:5" hidden="1" x14ac:dyDescent="0.25">
      <c r="A27" s="79" t="s">
        <v>64</v>
      </c>
      <c r="B27" s="82" t="s">
        <v>367</v>
      </c>
      <c r="C27" s="82" t="str">
        <f>_xlfn.XLOOKUP(A27,Tabela1[PLACA],Tabela1[Equipes],0)</f>
        <v>NVQ-LM-31B</v>
      </c>
      <c r="D27" s="82"/>
      <c r="E27" t="str">
        <f>_xlfn.XLOOKUP(A27,[1]Dados!$C$13:$C$109,[1]Dados!$DQ$13:$DQ$109,0)</f>
        <v>IPU-CE</v>
      </c>
    </row>
    <row r="28" spans="1:5" hidden="1" x14ac:dyDescent="0.25">
      <c r="A28" s="79" t="s">
        <v>73</v>
      </c>
      <c r="B28" s="82" t="s">
        <v>367</v>
      </c>
      <c r="C28" s="82" t="str">
        <f>_xlfn.XLOOKUP(A28,Tabela1[PLACA],Tabela1[Equipes],0)</f>
        <v>CAT-LM-22B</v>
      </c>
      <c r="D28" s="82"/>
      <c r="E28" t="str">
        <f>_xlfn.XLOOKUP(A28,[1]Dados!$C$13:$C$109,[1]Dados!$DQ$13:$DQ$109,0)</f>
        <v>CRATEÚS-CE</v>
      </c>
    </row>
    <row r="29" spans="1:5" hidden="1" x14ac:dyDescent="0.25">
      <c r="A29" s="79" t="s">
        <v>43</v>
      </c>
      <c r="B29" s="82" t="s">
        <v>367</v>
      </c>
      <c r="C29" s="82" t="str">
        <f>_xlfn.XLOOKUP(A29,Tabela1[PLACA],Tabela1[Equipes],0)</f>
        <v>QXD-MO-23B</v>
      </c>
      <c r="D29" s="82"/>
      <c r="E29" t="str">
        <f>_xlfn.XLOOKUP(A29,[1]Dados!$C$13:$C$109,[1]Dados!$DQ$13:$DQ$109,0)</f>
        <v>QUIXADÁ-CE</v>
      </c>
    </row>
    <row r="30" spans="1:5" hidden="1" x14ac:dyDescent="0.25">
      <c r="A30" s="79" t="s">
        <v>45</v>
      </c>
      <c r="B30" s="82" t="s">
        <v>367</v>
      </c>
      <c r="C30" s="82" t="str">
        <f>_xlfn.XLOOKUP(A30,Tabela1[PLACA],Tabela1[Equipes],0)</f>
        <v>CND-LM-22B</v>
      </c>
      <c r="D30" s="82"/>
      <c r="E30" t="str">
        <f>_xlfn.XLOOKUP(A30,[1]Dados!$C$13:$C$109,[1]Dados!$DQ$13:$DQ$109,0)</f>
        <v>CANINDÉ-CE</v>
      </c>
    </row>
    <row r="31" spans="1:5" hidden="1" x14ac:dyDescent="0.25">
      <c r="A31" s="79" t="s">
        <v>338</v>
      </c>
      <c r="B31" s="82" t="s">
        <v>367</v>
      </c>
      <c r="C31" s="82" t="s">
        <v>378</v>
      </c>
      <c r="D31" s="82"/>
      <c r="E31" t="str">
        <f>_xlfn.XLOOKUP(A31,[1]Dados!$C$13:$C$109,[1]Dados!$DQ$13:$DQ$109,0)</f>
        <v>CANINDÉ-CE</v>
      </c>
    </row>
    <row r="32" spans="1:5" hidden="1" x14ac:dyDescent="0.25">
      <c r="A32" s="79" t="s">
        <v>85</v>
      </c>
      <c r="B32" s="82" t="s">
        <v>367</v>
      </c>
      <c r="C32" s="82" t="str">
        <f>_xlfn.XLOOKUP(A32,Tabela1[PLACA],Tabela1[Equipes],0)</f>
        <v>CNB-LM-24B</v>
      </c>
      <c r="D32" s="82"/>
      <c r="E32" t="str">
        <f>_xlfn.XLOOKUP(A32,[1]Dados!$C$13:$C$109,[1]Dados!$DQ$13:$DQ$109,0)</f>
        <v>CANINDÉ-CE</v>
      </c>
    </row>
    <row r="33" spans="1:5" hidden="1" x14ac:dyDescent="0.25">
      <c r="A33" s="79" t="s">
        <v>339</v>
      </c>
      <c r="B33" s="82" t="s">
        <v>367</v>
      </c>
      <c r="C33" s="82" t="s">
        <v>379</v>
      </c>
      <c r="D33" s="82"/>
      <c r="E33" t="str">
        <f>_xlfn.XLOOKUP(A33,[1]Dados!$C$13:$C$109,[1]Dados!$DQ$13:$DQ$109,0)</f>
        <v>NOVA RUSSAS-CE</v>
      </c>
    </row>
    <row r="34" spans="1:5" hidden="1" x14ac:dyDescent="0.25">
      <c r="A34" s="79" t="s">
        <v>89</v>
      </c>
      <c r="B34" s="82" t="s">
        <v>367</v>
      </c>
      <c r="C34" s="82" t="str">
        <f>_xlfn.XLOOKUP(A34,Tabela1[PLACA],Tabela1[Equipes],0)</f>
        <v>CND-LM-30B</v>
      </c>
      <c r="D34" s="82"/>
      <c r="E34" t="str">
        <f>_xlfn.XLOOKUP(A34,[1]Dados!$C$13:$C$109,[1]Dados!$DQ$13:$DQ$109,0)</f>
        <v>CRATEÚS-CE</v>
      </c>
    </row>
    <row r="35" spans="1:5" hidden="1" x14ac:dyDescent="0.25">
      <c r="A35" s="79" t="s">
        <v>99</v>
      </c>
      <c r="B35" s="82" t="s">
        <v>367</v>
      </c>
      <c r="C35" s="82" t="str">
        <f>_xlfn.XLOOKUP(A35,Tabela1[PLACA],Tabela1[Equipes],0)</f>
        <v>QXD-MO-22B</v>
      </c>
      <c r="D35" s="82"/>
      <c r="E35" t="str">
        <f>_xlfn.XLOOKUP(A35,[1]Dados!$C$13:$C$109,[1]Dados!$DQ$13:$DQ$109,0)</f>
        <v>QUIXADÁ-CE</v>
      </c>
    </row>
    <row r="36" spans="1:5" hidden="1" x14ac:dyDescent="0.25">
      <c r="A36" s="79" t="s">
        <v>69</v>
      </c>
      <c r="B36" s="82" t="s">
        <v>367</v>
      </c>
      <c r="C36" s="82" t="str">
        <f>_xlfn.XLOOKUP(A36,Tabela1[PLACA],Tabela1[Equipes],0)</f>
        <v>QXB-LM-26B</v>
      </c>
      <c r="D36" s="82"/>
      <c r="E36" t="str">
        <f>_xlfn.XLOOKUP(A36,[1]Dados!$C$13:$C$109,[1]Dados!$DQ$13:$DQ$109,0)</f>
        <v>QUIXERAMOBIM-CE</v>
      </c>
    </row>
    <row r="37" spans="1:5" hidden="1" x14ac:dyDescent="0.25">
      <c r="A37" s="79" t="s">
        <v>340</v>
      </c>
      <c r="B37" s="82" t="s">
        <v>367</v>
      </c>
      <c r="C37" s="82" t="s">
        <v>381</v>
      </c>
      <c r="D37" s="82" t="s">
        <v>381</v>
      </c>
      <c r="E37" t="str">
        <f>_xlfn.XLOOKUP(A37,[1]Dados!$C$13:$C$109,[1]Dados!$DQ$13:$DQ$109,0)</f>
        <v>CANINDÉ-CE</v>
      </c>
    </row>
    <row r="38" spans="1:5" hidden="1" x14ac:dyDescent="0.25">
      <c r="A38" s="79" t="s">
        <v>341</v>
      </c>
      <c r="B38" s="82" t="s">
        <v>367</v>
      </c>
      <c r="C38" s="82">
        <f>_xlfn.XLOOKUP(A38,Tabela1[PLACA],Tabela1[Equipes],0)</f>
        <v>0</v>
      </c>
      <c r="D38" s="82"/>
      <c r="E38" t="str">
        <f>_xlfn.XLOOKUP(A38,[1]Dados!$C$13:$C$109,[1]Dados!$DQ$13:$DQ$109,0)</f>
        <v>CARIDADE-CE</v>
      </c>
    </row>
    <row r="39" spans="1:5" hidden="1" x14ac:dyDescent="0.25">
      <c r="A39" s="79" t="s">
        <v>342</v>
      </c>
      <c r="B39" s="82" t="s">
        <v>367</v>
      </c>
      <c r="C39" s="82">
        <f>_xlfn.XLOOKUP(A39,Tabela1[PLACA],Tabela1[Equipes],0)</f>
        <v>0</v>
      </c>
      <c r="D39" s="82"/>
      <c r="E39" t="str">
        <f>_xlfn.XLOOKUP(A39,[1]Dados!$C$13:$C$109,[1]Dados!$DQ$13:$DQ$109,0)</f>
        <v>QUIXADÁ-CE</v>
      </c>
    </row>
    <row r="40" spans="1:5" hidden="1" x14ac:dyDescent="0.25">
      <c r="A40" s="79" t="s">
        <v>41</v>
      </c>
      <c r="B40" s="82" t="s">
        <v>367</v>
      </c>
      <c r="C40" s="82" t="str">
        <f>_xlfn.XLOOKUP(A40,Tabela1[PLACA],Tabela1[Equipes],0)</f>
        <v>CAT-LM-25B</v>
      </c>
      <c r="D40" s="82"/>
      <c r="E40" t="str">
        <f>_xlfn.XLOOKUP(A40,[1]Dados!$C$13:$C$109,[1]Dados!$DQ$13:$DQ$109,0)</f>
        <v>CRATEÚS-CE</v>
      </c>
    </row>
    <row r="41" spans="1:5" hidden="1" x14ac:dyDescent="0.25">
      <c r="A41" s="79" t="s">
        <v>83</v>
      </c>
      <c r="B41" s="82" t="s">
        <v>367</v>
      </c>
      <c r="C41" s="82" t="str">
        <f>_xlfn.XLOOKUP(A41,Tabela1[PLACA],Tabela1[Equipes],0)</f>
        <v>NVR-LM-26B</v>
      </c>
      <c r="D41" s="82"/>
      <c r="E41" t="str">
        <f>_xlfn.XLOOKUP(A41,[1]Dados!$C$13:$C$109,[1]Dados!$DQ$13:$DQ$109,0)</f>
        <v>VARJOTA-CE</v>
      </c>
    </row>
    <row r="42" spans="1:5" hidden="1" x14ac:dyDescent="0.25">
      <c r="A42" s="79" t="s">
        <v>87</v>
      </c>
      <c r="B42" s="82" t="s">
        <v>367</v>
      </c>
      <c r="C42" s="82" t="str">
        <f>_xlfn.XLOOKUP(A42,Tabela1[PLACA],Tabela1[Equipes],0)</f>
        <v>NVQ-LM-30B</v>
      </c>
      <c r="D42" s="82"/>
      <c r="E42" t="str">
        <f>_xlfn.XLOOKUP(A42,[1]Dados!$C$13:$C$109,[1]Dados!$DQ$13:$DQ$109,0)</f>
        <v>CANINDÉ-CE</v>
      </c>
    </row>
    <row r="43" spans="1:5" hidden="1" x14ac:dyDescent="0.25">
      <c r="A43" s="79" t="s">
        <v>91</v>
      </c>
      <c r="B43" s="82" t="s">
        <v>367</v>
      </c>
      <c r="C43" s="82" t="str">
        <f>_xlfn.XLOOKUP(A43,Tabela1[PLACA],Tabela1[Equipes],0)</f>
        <v>NVR-LM-27B</v>
      </c>
      <c r="D43" s="82"/>
      <c r="E43" t="str">
        <f>_xlfn.XLOOKUP(A43,[1]Dados!$C$13:$C$109,[1]Dados!$DQ$13:$DQ$109,0)</f>
        <v>NOVA RUSSAS-CE</v>
      </c>
    </row>
    <row r="44" spans="1:5" hidden="1" x14ac:dyDescent="0.25">
      <c r="A44" s="79" t="s">
        <v>343</v>
      </c>
      <c r="B44" s="82" t="s">
        <v>367</v>
      </c>
      <c r="C44" s="82">
        <f>_xlfn.XLOOKUP(A44,Tabela1[PLACA],Tabela1[Equipes],0)</f>
        <v>0</v>
      </c>
      <c r="D44" s="82"/>
      <c r="E44" t="str">
        <f>_xlfn.XLOOKUP(A44,[1]Dados!$C$13:$C$109,[1]Dados!$DQ$13:$DQ$109,0)</f>
        <v>CRATEÚS-CE</v>
      </c>
    </row>
    <row r="45" spans="1:5" hidden="1" x14ac:dyDescent="0.25">
      <c r="A45" s="79" t="s">
        <v>344</v>
      </c>
      <c r="B45" s="82" t="s">
        <v>367</v>
      </c>
      <c r="C45" s="82" t="s">
        <v>377</v>
      </c>
      <c r="D45" s="82"/>
      <c r="E45" t="str">
        <f>_xlfn.XLOOKUP(A45,[1]Dados!$C$13:$C$109,[1]Dados!$DQ$13:$DQ$109,0)</f>
        <v>CANINDÉ-CE</v>
      </c>
    </row>
    <row r="46" spans="1:5" hidden="1" x14ac:dyDescent="0.25">
      <c r="A46" s="79" t="s">
        <v>66</v>
      </c>
      <c r="B46" s="82" t="s">
        <v>367</v>
      </c>
      <c r="C46" s="82" t="str">
        <f>_xlfn.XLOOKUP(A46,Tabela1[PLACA],Tabela1[Equipes],0)</f>
        <v>CAT-LM-24B</v>
      </c>
      <c r="D46" s="82"/>
      <c r="E46" t="str">
        <f>_xlfn.XLOOKUP(A46,[1]Dados!$C$13:$C$109,[1]Dados!$DQ$13:$DQ$109,0)</f>
        <v>CRATEÚS-CE</v>
      </c>
    </row>
    <row r="47" spans="1:5" hidden="1" x14ac:dyDescent="0.25">
      <c r="A47" s="79" t="s">
        <v>97</v>
      </c>
      <c r="B47" s="82" t="s">
        <v>367</v>
      </c>
      <c r="C47" s="82" t="str">
        <f>_xlfn.XLOOKUP(A47,Tabela1[PLACA],Tabela1[Equipes],0)</f>
        <v>NVR-LM-28B</v>
      </c>
      <c r="D47" s="82"/>
      <c r="E47" t="str">
        <f>_xlfn.XLOOKUP(A47,[1]Dados!$C$13:$C$109,[1]Dados!$DQ$13:$DQ$109,0)</f>
        <v>NOVA RUSSAS-CE</v>
      </c>
    </row>
    <row r="48" spans="1:5" hidden="1" x14ac:dyDescent="0.25">
      <c r="A48" s="79" t="s">
        <v>345</v>
      </c>
      <c r="B48" s="82" t="s">
        <v>367</v>
      </c>
      <c r="C48" s="82">
        <f>_xlfn.XLOOKUP(A48,Tabela1[PLACA],Tabela1[Equipes],0)</f>
        <v>0</v>
      </c>
      <c r="D48" s="82"/>
      <c r="E48" t="str">
        <f>_xlfn.XLOOKUP(A48,[1]Dados!$C$13:$C$109,[1]Dados!$DQ$13:$DQ$109,0)</f>
        <v>CRATEÚS-CE</v>
      </c>
    </row>
    <row r="49" spans="1:5" hidden="1" x14ac:dyDescent="0.25">
      <c r="A49" s="79" t="s">
        <v>71</v>
      </c>
      <c r="B49" s="82" t="s">
        <v>367</v>
      </c>
      <c r="C49" s="82" t="str">
        <f>_xlfn.XLOOKUP(A49,Tabela1[PLACA],Tabela1[Equipes],0)</f>
        <v>QXD-LM-29B</v>
      </c>
      <c r="D49" s="82"/>
      <c r="E49" t="str">
        <f>_xlfn.XLOOKUP(A49,[1]Dados!$C$13:$C$109,[1]Dados!$DQ$13:$DQ$109,0)</f>
        <v>QUIXADÁ-CE</v>
      </c>
    </row>
    <row r="50" spans="1:5" hidden="1" x14ac:dyDescent="0.25">
      <c r="A50" s="79" t="s">
        <v>37</v>
      </c>
      <c r="B50" s="82" t="s">
        <v>367</v>
      </c>
      <c r="C50" s="82" t="str">
        <f>_xlfn.XLOOKUP(A50,Tabela1[PLACA],Tabela1[Equipes],0)</f>
        <v>CND-MO-22B</v>
      </c>
      <c r="D50" s="82"/>
      <c r="E50" t="str">
        <f>_xlfn.XLOOKUP(A50,[1]Dados!$C$13:$C$109,[1]Dados!$DQ$13:$DQ$109,0)</f>
        <v>CANINDÉ-CE</v>
      </c>
    </row>
    <row r="51" spans="1:5" hidden="1" x14ac:dyDescent="0.25">
      <c r="A51" s="79" t="s">
        <v>203</v>
      </c>
      <c r="B51" s="82" t="s">
        <v>368</v>
      </c>
      <c r="C51" s="82" t="str">
        <f>_xlfn.XLOOKUP(A51,Tabela1[PLACA],Tabela1[Equipes],0)</f>
        <v>NVR-MO-23B</v>
      </c>
      <c r="D51" s="82"/>
      <c r="E51" t="str">
        <f>_xlfn.XLOOKUP(A51,[1]Dados!$C$13:$C$109,[1]Dados!$DQ$13:$DQ$109,0)</f>
        <v>NOVA RUSSAS-CE</v>
      </c>
    </row>
    <row r="52" spans="1:5" hidden="1" x14ac:dyDescent="0.25">
      <c r="A52" s="79" t="s">
        <v>207</v>
      </c>
      <c r="B52" s="82" t="s">
        <v>368</v>
      </c>
      <c r="C52" s="82" t="str">
        <f>_xlfn.XLOOKUP(A52,Tabela1[PLACA],Tabela1[Equipes],0)</f>
        <v>QXD-MO-21B</v>
      </c>
      <c r="D52" s="82"/>
      <c r="E52" t="str">
        <f>_xlfn.XLOOKUP(A52,[1]Dados!$C$13:$C$109,[1]Dados!$DQ$13:$DQ$109,0)</f>
        <v>QUIXADÁ-CE</v>
      </c>
    </row>
    <row r="53" spans="1:5" hidden="1" x14ac:dyDescent="0.25">
      <c r="A53" s="79" t="s">
        <v>346</v>
      </c>
      <c r="B53" s="82" t="s">
        <v>368</v>
      </c>
      <c r="C53" s="82" t="s">
        <v>204</v>
      </c>
      <c r="D53" s="82" t="s">
        <v>376</v>
      </c>
      <c r="E53" t="str">
        <f>_xlfn.XLOOKUP(A53,[1]Dados!$C$13:$C$109,[1]Dados!$DQ$13:$DQ$109,0)</f>
        <v>CRATEÚS-CE</v>
      </c>
    </row>
    <row r="54" spans="1:5" hidden="1" x14ac:dyDescent="0.25">
      <c r="A54" s="79" t="s">
        <v>205</v>
      </c>
      <c r="B54" s="82" t="s">
        <v>368</v>
      </c>
      <c r="C54" s="82" t="str">
        <f>_xlfn.XLOOKUP(A54,Tabela1[PLACA],Tabela1[Equipes],0)</f>
        <v>CAT-MO-21B</v>
      </c>
      <c r="D54" s="82"/>
      <c r="E54" t="str">
        <f>_xlfn.XLOOKUP(A54,[1]Dados!$C$13:$C$109,[1]Dados!$DQ$13:$DQ$109,0)</f>
        <v>CRATEÚS-CE</v>
      </c>
    </row>
    <row r="55" spans="1:5" hidden="1" x14ac:dyDescent="0.25">
      <c r="A55" s="79" t="s">
        <v>347</v>
      </c>
      <c r="B55" s="82" t="s">
        <v>368</v>
      </c>
      <c r="C55" s="82" t="s">
        <v>202</v>
      </c>
      <c r="D55" s="82" t="s">
        <v>376</v>
      </c>
      <c r="E55" t="str">
        <f>_xlfn.XLOOKUP(A55,[1]Dados!$C$13:$C$109,[1]Dados!$DQ$13:$DQ$109,0)</f>
        <v>CANINDÉ-CE</v>
      </c>
    </row>
    <row r="56" spans="1:5" hidden="1" x14ac:dyDescent="0.25">
      <c r="A56" s="79" t="s">
        <v>348</v>
      </c>
      <c r="B56" s="82" t="s">
        <v>368</v>
      </c>
      <c r="C56" s="82" t="s">
        <v>98</v>
      </c>
      <c r="D56" s="82" t="s">
        <v>376</v>
      </c>
      <c r="E56" t="str">
        <f>_xlfn.XLOOKUP(A56,[1]Dados!$C$13:$C$109,[1]Dados!$DQ$13:$DQ$109,0)</f>
        <v>QUIXADÁ-CE</v>
      </c>
    </row>
    <row r="57" spans="1:5" hidden="1" x14ac:dyDescent="0.25">
      <c r="A57" s="79" t="s">
        <v>209</v>
      </c>
      <c r="B57" s="82" t="s">
        <v>368</v>
      </c>
      <c r="C57" s="82" t="str">
        <f>_xlfn.XLOOKUP(A57,Tabela1[PLACA],Tabela1[Equipes],0)</f>
        <v>NVR-MO-22B</v>
      </c>
      <c r="D57" s="82"/>
      <c r="E57" t="str">
        <f>_xlfn.XLOOKUP(A57,[1]Dados!$C$13:$C$109,[1]Dados!$DQ$13:$DQ$109,0)</f>
        <v>CRATEÚS-CE</v>
      </c>
    </row>
    <row r="58" spans="1:5" hidden="1" x14ac:dyDescent="0.25">
      <c r="A58" s="79" t="s">
        <v>349</v>
      </c>
      <c r="B58" s="82" t="s">
        <v>368</v>
      </c>
      <c r="C58" s="82" t="s">
        <v>208</v>
      </c>
      <c r="D58" s="82" t="s">
        <v>376</v>
      </c>
      <c r="E58" t="str">
        <f>_xlfn.XLOOKUP(A58,[1]Dados!$C$13:$C$109,[1]Dados!$DQ$13:$DQ$109,0)</f>
        <v>NOVA RUSSAS-CE</v>
      </c>
    </row>
    <row r="59" spans="1:5" hidden="1" x14ac:dyDescent="0.25">
      <c r="A59" s="79" t="s">
        <v>350</v>
      </c>
      <c r="B59" s="82" t="s">
        <v>368</v>
      </c>
      <c r="C59" s="82" t="s">
        <v>42</v>
      </c>
      <c r="D59" s="82" t="s">
        <v>376</v>
      </c>
      <c r="E59" t="str">
        <f>_xlfn.XLOOKUP(A59,[1]Dados!$C$13:$C$109,[1]Dados!$DQ$13:$DQ$109,0)</f>
        <v>CANINDÉ-CE</v>
      </c>
    </row>
    <row r="60" spans="1:5" hidden="1" x14ac:dyDescent="0.25">
      <c r="A60" s="79" t="s">
        <v>351</v>
      </c>
      <c r="B60" s="82" t="s">
        <v>369</v>
      </c>
      <c r="C60" s="82" t="s">
        <v>373</v>
      </c>
      <c r="D60" s="82" t="s">
        <v>376</v>
      </c>
      <c r="E60" t="str">
        <f>_xlfn.XLOOKUP(A60,[1]Dados!$C$13:$C$109,[1]Dados!$DQ$13:$DQ$109,0)</f>
        <v>CANINDÉ-CE</v>
      </c>
    </row>
    <row r="61" spans="1:5" hidden="1" x14ac:dyDescent="0.25">
      <c r="A61" s="79" t="s">
        <v>352</v>
      </c>
      <c r="B61" s="82" t="s">
        <v>369</v>
      </c>
      <c r="C61" s="82" t="s">
        <v>373</v>
      </c>
      <c r="D61" s="82" t="s">
        <v>376</v>
      </c>
      <c r="E61" t="str">
        <f>_xlfn.XLOOKUP(A61,[1]Dados!$C$13:$C$109,[1]Dados!$DQ$13:$DQ$109,0)</f>
        <v>CANINDÉ-CE</v>
      </c>
    </row>
    <row r="62" spans="1:5" hidden="1" x14ac:dyDescent="0.25">
      <c r="A62" s="79" t="s">
        <v>353</v>
      </c>
      <c r="B62" s="82" t="s">
        <v>369</v>
      </c>
      <c r="C62" s="82" t="s">
        <v>373</v>
      </c>
      <c r="D62" s="82" t="s">
        <v>376</v>
      </c>
      <c r="E62" t="str">
        <f>_xlfn.XLOOKUP(A62,[1]Dados!$C$13:$C$109,[1]Dados!$DQ$13:$DQ$109,0)</f>
        <v>QUIXADÁ-CE</v>
      </c>
    </row>
    <row r="63" spans="1:5" hidden="1" x14ac:dyDescent="0.25">
      <c r="A63" s="79" t="s">
        <v>354</v>
      </c>
      <c r="B63" s="82" t="s">
        <v>370</v>
      </c>
      <c r="C63" s="82" t="s">
        <v>373</v>
      </c>
      <c r="D63" s="82" t="s">
        <v>376</v>
      </c>
      <c r="E63" t="str">
        <f>_xlfn.XLOOKUP(A63,[1]Dados!$C$13:$C$109,[1]Dados!$DQ$13:$DQ$109,0)</f>
        <v>QUIXADÁ-CE</v>
      </c>
    </row>
    <row r="64" spans="1:5" hidden="1" x14ac:dyDescent="0.25">
      <c r="A64" s="79" t="s">
        <v>355</v>
      </c>
      <c r="B64" s="82" t="s">
        <v>369</v>
      </c>
      <c r="C64" s="82" t="s">
        <v>373</v>
      </c>
      <c r="D64" s="82" t="s">
        <v>376</v>
      </c>
      <c r="E64" t="str">
        <f>_xlfn.XLOOKUP(A64,[1]Dados!$C$13:$C$109,[1]Dados!$DQ$13:$DQ$109,0)</f>
        <v>NOVA RUSSAS-CE</v>
      </c>
    </row>
    <row r="65" spans="1:5" x14ac:dyDescent="0.25">
      <c r="A65" s="83" t="s">
        <v>191</v>
      </c>
      <c r="B65" s="84" t="s">
        <v>366</v>
      </c>
      <c r="C65" s="82" t="str">
        <f>_xlfn.XLOOKUP(A65,Tabela1[PLACA],Tabela1[Equipes],0)</f>
        <v>QXU-RD-21B</v>
      </c>
      <c r="D65" s="82"/>
      <c r="E65" t="str">
        <f>_xlfn.XLOOKUP(A65,[1]Dados!$C$13:$C$109,[1]Dados!$DQ$13:$DQ$109,0)</f>
        <v>QUIXADÁ-CE</v>
      </c>
    </row>
    <row r="66" spans="1:5" x14ac:dyDescent="0.25">
      <c r="A66" s="83" t="s">
        <v>115</v>
      </c>
      <c r="B66" s="84" t="s">
        <v>366</v>
      </c>
      <c r="C66" s="82" t="str">
        <f>_xlfn.XLOOKUP(A66,Tabela1[PLACA],Tabela1[Equipes],0)</f>
        <v>QXD-RD-21D</v>
      </c>
      <c r="D66" s="82"/>
      <c r="E66" t="str">
        <f>_xlfn.XLOOKUP(A66,[1]Dados!$C$13:$C$109,[1]Dados!$DQ$13:$DQ$109,0)</f>
        <v>QUIXADÁ-CE</v>
      </c>
    </row>
    <row r="67" spans="1:5" x14ac:dyDescent="0.25">
      <c r="A67" s="83" t="s">
        <v>356</v>
      </c>
      <c r="B67" s="84" t="s">
        <v>366</v>
      </c>
      <c r="C67" s="82" t="s">
        <v>381</v>
      </c>
      <c r="D67" s="82" t="s">
        <v>381</v>
      </c>
      <c r="E67" t="str">
        <f>_xlfn.XLOOKUP(A67,[1]Dados!$C$13:$C$109,[1]Dados!$DQ$13:$DQ$109,0)</f>
        <v>CRATEÚS-CE</v>
      </c>
    </row>
    <row r="68" spans="1:5" x14ac:dyDescent="0.25">
      <c r="A68" s="83" t="s">
        <v>137</v>
      </c>
      <c r="B68" s="84" t="s">
        <v>366</v>
      </c>
      <c r="C68" s="82" t="str">
        <f>_xlfn.XLOOKUP(A68,Tabela1[PLACA],Tabela1[Equipes],0)</f>
        <v>CAT-RD-21B</v>
      </c>
      <c r="D68" s="82"/>
      <c r="E68" t="str">
        <f>_xlfn.XLOOKUP(A68,[1]Dados!$C$13:$C$109,[1]Dados!$DQ$13:$DQ$109,0)</f>
        <v>CRATEÚS-CE</v>
      </c>
    </row>
    <row r="69" spans="1:5" x14ac:dyDescent="0.25">
      <c r="A69" s="83" t="s">
        <v>112</v>
      </c>
      <c r="B69" s="84" t="s">
        <v>366</v>
      </c>
      <c r="C69" s="82" t="str">
        <f>_xlfn.XLOOKUP(A69,Tabela1[PLACA],Tabela1[Equipes],0)</f>
        <v>NVM-RD-21B</v>
      </c>
      <c r="D69" s="82"/>
      <c r="E69" t="str">
        <f>_xlfn.XLOOKUP(A69,[1]Dados!$C$13:$C$109,[1]Dados!$DQ$13:$DQ$109,0)</f>
        <v>MONSENHOR TABOSA-CE</v>
      </c>
    </row>
    <row r="70" spans="1:5" x14ac:dyDescent="0.25">
      <c r="A70" s="83" t="s">
        <v>124</v>
      </c>
      <c r="B70" s="84" t="s">
        <v>366</v>
      </c>
      <c r="C70" s="82" t="str">
        <f>_xlfn.XLOOKUP(A70,Tabela1[PLACA],Tabela1[Equipes],0)</f>
        <v>QXD-RD-23B</v>
      </c>
      <c r="D70" s="82"/>
      <c r="E70" t="str">
        <f>_xlfn.XLOOKUP(A70,[1]Dados!$C$13:$C$109,[1]Dados!$DQ$13:$DQ$109,0)</f>
        <v>MADALENA-CE</v>
      </c>
    </row>
    <row r="71" spans="1:5" x14ac:dyDescent="0.25">
      <c r="A71" s="83" t="s">
        <v>135</v>
      </c>
      <c r="B71" s="84" t="s">
        <v>366</v>
      </c>
      <c r="C71" s="82" t="str">
        <f>_xlfn.XLOOKUP(A71,Tabela1[PLACA],Tabela1[Equipes],0)</f>
        <v>CAT-RD-22C</v>
      </c>
      <c r="D71" s="82"/>
      <c r="E71" t="str">
        <f>_xlfn.XLOOKUP(A71,[1]Dados!$C$13:$C$109,[1]Dados!$DQ$13:$DQ$109,0)</f>
        <v>CRATEÚS-CE</v>
      </c>
    </row>
    <row r="72" spans="1:5" x14ac:dyDescent="0.25">
      <c r="A72" s="83" t="s">
        <v>201</v>
      </c>
      <c r="B72" s="84" t="s">
        <v>366</v>
      </c>
      <c r="C72" s="82" t="str">
        <f>_xlfn.XLOOKUP(A72,Tabela1[PLACA],Tabela1[Equipes],0)</f>
        <v>NVR-RD-21B</v>
      </c>
      <c r="D72" s="82"/>
      <c r="E72" t="str">
        <f>_xlfn.XLOOKUP(A72,[1]Dados!$C$13:$C$109,[1]Dados!$DQ$13:$DQ$109,0)</f>
        <v>NOVA RUSSAS-CE</v>
      </c>
    </row>
    <row r="73" spans="1:5" x14ac:dyDescent="0.25">
      <c r="A73" s="83" t="s">
        <v>120</v>
      </c>
      <c r="B73" s="84" t="s">
        <v>366</v>
      </c>
      <c r="C73" s="82" t="str">
        <f>_xlfn.XLOOKUP(A73,Tabela1[PLACA],Tabela1[Equipes],0)</f>
        <v>NVV-RD-21B</v>
      </c>
      <c r="D73" s="82"/>
      <c r="E73" t="str">
        <f>_xlfn.XLOOKUP(A73,[1]Dados!$C$13:$C$109,[1]Dados!$DQ$13:$DQ$109,0)</f>
        <v>VARJOTA-CE</v>
      </c>
    </row>
    <row r="74" spans="1:5" x14ac:dyDescent="0.25">
      <c r="A74" s="83" t="s">
        <v>175</v>
      </c>
      <c r="B74" s="84" t="s">
        <v>366</v>
      </c>
      <c r="C74" s="82" t="str">
        <f>_xlfn.XLOOKUP(A74,Tabela1[PLACA],Tabela1[Equipes],0)</f>
        <v>QXB-RD-21D</v>
      </c>
      <c r="D74" s="82"/>
      <c r="E74" t="str">
        <f>_xlfn.XLOOKUP(A74,[1]Dados!$C$13:$C$109,[1]Dados!$DQ$13:$DQ$109,0)</f>
        <v>QUIXADÁ-CE</v>
      </c>
    </row>
    <row r="75" spans="1:5" x14ac:dyDescent="0.25">
      <c r="A75" s="83" t="s">
        <v>153</v>
      </c>
      <c r="B75" s="84" t="s">
        <v>366</v>
      </c>
      <c r="C75" s="82" t="str">
        <f>_xlfn.XLOOKUP(A75,Tabela1[PLACA],Tabela1[Equipes],0)</f>
        <v>NVV-RD-22B</v>
      </c>
      <c r="D75" s="82"/>
      <c r="E75" t="str">
        <f>_xlfn.XLOOKUP(A75,[1]Dados!$C$13:$C$109,[1]Dados!$DQ$13:$DQ$109,0)</f>
        <v>SANTA QUITÉRIA-CE</v>
      </c>
    </row>
    <row r="76" spans="1:5" x14ac:dyDescent="0.25">
      <c r="A76" s="83" t="s">
        <v>156</v>
      </c>
      <c r="B76" s="84" t="s">
        <v>366</v>
      </c>
      <c r="C76" s="82" t="str">
        <f>_xlfn.XLOOKUP(A76,Tabela1[PLACA],Tabela1[Equipes],0)</f>
        <v>CNM-RD-21B</v>
      </c>
      <c r="D76" s="82"/>
      <c r="E76" t="str">
        <f>_xlfn.XLOOKUP(A76,[1]Dados!$C$13:$C$109,[1]Dados!$DQ$13:$DQ$109,0)</f>
        <v>CARIDADE-CE</v>
      </c>
    </row>
    <row r="77" spans="1:5" x14ac:dyDescent="0.25">
      <c r="A77" s="79" t="s">
        <v>198</v>
      </c>
      <c r="B77" s="82" t="s">
        <v>366</v>
      </c>
      <c r="C77" s="82" t="str">
        <f>_xlfn.XLOOKUP(A77,Tabela1[PLACA],Tabela1[Equipes],0)</f>
        <v>QXD-RD-21B</v>
      </c>
      <c r="D77" s="82"/>
      <c r="E77" t="str">
        <f>_xlfn.XLOOKUP(A77,[1]Dados!$C$13:$C$109,[1]Dados!$DQ$13:$DQ$109,0)</f>
        <v>QUIXADÁ-CE</v>
      </c>
    </row>
    <row r="78" spans="1:5" x14ac:dyDescent="0.25">
      <c r="A78" s="79" t="s">
        <v>126</v>
      </c>
      <c r="B78" s="82" t="s">
        <v>366</v>
      </c>
      <c r="C78" s="82" t="str">
        <f>_xlfn.XLOOKUP(A78,Tabela1[PLACA],Tabela1[Equipes],0)</f>
        <v>CAT-RD-23C</v>
      </c>
      <c r="D78" s="82"/>
      <c r="E78" t="str">
        <f>_xlfn.XLOOKUP(A78,[1]Dados!$C$13:$C$109,[1]Dados!$DQ$13:$DQ$109,0)</f>
        <v>CRATEÚS-CE</v>
      </c>
    </row>
    <row r="79" spans="1:5" x14ac:dyDescent="0.25">
      <c r="A79" s="79" t="s">
        <v>162</v>
      </c>
      <c r="B79" s="82" t="s">
        <v>366</v>
      </c>
      <c r="C79" s="82" t="str">
        <f>_xlfn.XLOOKUP(A79,Tabela1[PLACA],Tabela1[Equipes],0)</f>
        <v>CAT-RD-21C</v>
      </c>
      <c r="D79" s="82"/>
      <c r="E79" t="str">
        <f>_xlfn.XLOOKUP(A79,[1]Dados!$C$13:$C$109,[1]Dados!$DQ$13:$DQ$109,0)</f>
        <v>CRATEÚS-CE</v>
      </c>
    </row>
    <row r="80" spans="1:5" x14ac:dyDescent="0.25">
      <c r="A80" s="79" t="s">
        <v>169</v>
      </c>
      <c r="B80" s="82" t="s">
        <v>366</v>
      </c>
      <c r="C80" s="82" t="str">
        <f>_xlfn.XLOOKUP(A80,Tabela1[PLACA],Tabela1[Equipes],0)</f>
        <v>NVR-RD-22B</v>
      </c>
      <c r="D80" s="82"/>
      <c r="E80" t="str">
        <f>_xlfn.XLOOKUP(A80,[1]Dados!$C$13:$C$109,[1]Dados!$DQ$13:$DQ$109,0)</f>
        <v>NOVA RUSSAS-CE</v>
      </c>
    </row>
    <row r="81" spans="1:6" x14ac:dyDescent="0.25">
      <c r="A81" s="79" t="s">
        <v>172</v>
      </c>
      <c r="B81" s="82" t="s">
        <v>366</v>
      </c>
      <c r="C81" s="82" t="str">
        <f>_xlfn.XLOOKUP(A81,Tabela1[PLACA],Tabela1[Equipes],0)</f>
        <v>QXB-RD-21B</v>
      </c>
      <c r="D81" s="82"/>
      <c r="E81" t="str">
        <f>_xlfn.XLOOKUP(A81,[1]Dados!$C$13:$C$109,[1]Dados!$DQ$13:$DQ$109,0)</f>
        <v>QUIXADÁ-CE</v>
      </c>
    </row>
    <row r="82" spans="1:6" x14ac:dyDescent="0.25">
      <c r="A82" s="79" t="s">
        <v>146</v>
      </c>
      <c r="B82" s="82" t="s">
        <v>366</v>
      </c>
      <c r="C82" s="82" t="str">
        <f>_xlfn.XLOOKUP(A82,Tabela1[PLACA],Tabela1[Equipes],0)</f>
        <v>NVQ-RD-21B</v>
      </c>
      <c r="D82" s="82"/>
      <c r="E82" t="str">
        <f>_xlfn.XLOOKUP(A82,[1]Dados!$C$13:$C$109,[1]Dados!$DQ$13:$DQ$109,0)</f>
        <v>SANTA QUITÉRIA-CE</v>
      </c>
    </row>
    <row r="83" spans="1:6" x14ac:dyDescent="0.25">
      <c r="A83" s="79" t="s">
        <v>357</v>
      </c>
      <c r="B83" s="82" t="s">
        <v>366</v>
      </c>
      <c r="C83" s="82">
        <f>_xlfn.XLOOKUP(A83,Tabela1[PLACA],Tabela1[Equipes],0)</f>
        <v>0</v>
      </c>
      <c r="D83" s="82"/>
      <c r="E83" t="str">
        <f>_xlfn.XLOOKUP(A83,[1]Dados!$C$13:$C$109,[1]Dados!$DQ$13:$DQ$109,0)</f>
        <v>CANINDÉ-CE</v>
      </c>
      <c r="F83" s="41" t="s">
        <v>384</v>
      </c>
    </row>
    <row r="84" spans="1:6" x14ac:dyDescent="0.25">
      <c r="A84" s="79" t="s">
        <v>144</v>
      </c>
      <c r="B84" s="82" t="s">
        <v>366</v>
      </c>
      <c r="C84" s="82" t="str">
        <f>_xlfn.XLOOKUP(A84,Tabela1[PLACA],Tabela1[Equipes],0)</f>
        <v>CND-LM-26B</v>
      </c>
      <c r="D84" s="82"/>
      <c r="E84" t="str">
        <f>_xlfn.XLOOKUP(A84,[1]Dados!$C$13:$C$109,[1]Dados!$DQ$13:$DQ$109,0)</f>
        <v>SANTA QUITÉRIA-CE</v>
      </c>
    </row>
    <row r="85" spans="1:6" x14ac:dyDescent="0.25">
      <c r="A85" s="79" t="s">
        <v>159</v>
      </c>
      <c r="B85" s="82" t="s">
        <v>366</v>
      </c>
      <c r="C85" s="82" t="str">
        <f>_xlfn.XLOOKUP(A85,Tabela1[PLACA],Tabela1[Equipes],0)</f>
        <v>CNB-RD-21C</v>
      </c>
      <c r="D85" s="82"/>
      <c r="E85" t="str">
        <f>_xlfn.XLOOKUP(A85,[1]Dados!$C$13:$C$109,[1]Dados!$DQ$13:$DQ$109,0)</f>
        <v>CANINDÉ-CE</v>
      </c>
    </row>
    <row r="86" spans="1:6" x14ac:dyDescent="0.25">
      <c r="A86" s="79" t="s">
        <v>358</v>
      </c>
      <c r="B86" s="82" t="s">
        <v>366</v>
      </c>
      <c r="C86" s="82" t="s">
        <v>381</v>
      </c>
      <c r="D86" s="82" t="s">
        <v>381</v>
      </c>
      <c r="E86" s="41" t="s">
        <v>383</v>
      </c>
    </row>
    <row r="87" spans="1:6" x14ac:dyDescent="0.25">
      <c r="A87" s="79" t="s">
        <v>184</v>
      </c>
      <c r="B87" s="82" t="s">
        <v>366</v>
      </c>
      <c r="C87" s="82" t="str">
        <f>_xlfn.XLOOKUP(A87,Tabela1[PLACA],Tabela1[Equipes],0)</f>
        <v>CND-RD-22B</v>
      </c>
      <c r="D87" s="82"/>
      <c r="E87" t="str">
        <f>_xlfn.XLOOKUP(A87,[1]Dados!$C$13:$C$109,[1]Dados!$DQ$13:$DQ$109,0)</f>
        <v>CANINDÉ-CE</v>
      </c>
    </row>
    <row r="88" spans="1:6" x14ac:dyDescent="0.25">
      <c r="A88" s="79" t="s">
        <v>359</v>
      </c>
      <c r="B88" s="82" t="s">
        <v>366</v>
      </c>
      <c r="C88" s="82" t="s">
        <v>381</v>
      </c>
      <c r="D88" s="82" t="s">
        <v>381</v>
      </c>
      <c r="E88" t="str">
        <f>_xlfn.XLOOKUP(A88,[1]Dados!$C$13:$C$109,[1]Dados!$DQ$13:$DQ$109,0)</f>
        <v>CANINDÉ-CE</v>
      </c>
    </row>
    <row r="89" spans="1:6" x14ac:dyDescent="0.25">
      <c r="A89" s="79" t="s">
        <v>360</v>
      </c>
      <c r="B89" s="82" t="s">
        <v>366</v>
      </c>
      <c r="C89" s="82" t="s">
        <v>381</v>
      </c>
      <c r="D89" s="82" t="s">
        <v>381</v>
      </c>
      <c r="E89" s="41" t="s">
        <v>385</v>
      </c>
    </row>
    <row r="90" spans="1:6" x14ac:dyDescent="0.25">
      <c r="A90" s="79" t="s">
        <v>361</v>
      </c>
      <c r="B90" s="82" t="s">
        <v>366</v>
      </c>
      <c r="C90" s="82" t="str">
        <f>_xlfn.XLOOKUP(A90,Tabela1[PLACA],Tabela1[Equipes],0)</f>
        <v>CND-RD-23B</v>
      </c>
      <c r="D90" s="82" t="s">
        <v>382</v>
      </c>
      <c r="E90" t="str">
        <f>_xlfn.XLOOKUP(A90,[1]Dados!$C$13:$C$109,[1]Dados!$DQ$13:$DQ$109,0)</f>
        <v>CANINDÉ-CE</v>
      </c>
    </row>
    <row r="91" spans="1:6" x14ac:dyDescent="0.25">
      <c r="A91" s="79" t="s">
        <v>142</v>
      </c>
      <c r="B91" s="82" t="s">
        <v>366</v>
      </c>
      <c r="C91" s="82" t="str">
        <f>_xlfn.XLOOKUP(A91,Tabela1[PLACA],Tabela1[Equipes],0)</f>
        <v>CND-LM-21B</v>
      </c>
      <c r="D91" s="82"/>
      <c r="E91" t="str">
        <f>_xlfn.XLOOKUP(A91,[1]Dados!$C$13:$C$109,[1]Dados!$DQ$13:$DQ$109,0)</f>
        <v>CANINDÉ-CE</v>
      </c>
    </row>
    <row r="92" spans="1:6" x14ac:dyDescent="0.25">
      <c r="A92" s="79" t="s">
        <v>178</v>
      </c>
      <c r="B92" s="82" t="s">
        <v>366</v>
      </c>
      <c r="C92" s="82" t="str">
        <f>_xlfn.XLOOKUP(A92,Tabela1[PLACA],Tabela1[Equipes],0)</f>
        <v>QXD-LM-28B</v>
      </c>
      <c r="D92" s="82"/>
      <c r="E92" t="str">
        <f>_xlfn.XLOOKUP(A92,[1]Dados!$C$13:$C$109,[1]Dados!$DQ$13:$DQ$109,0)</f>
        <v>QUIXERAMOBIM-CE</v>
      </c>
    </row>
    <row r="93" spans="1:6" x14ac:dyDescent="0.25">
      <c r="A93" s="79" t="s">
        <v>182</v>
      </c>
      <c r="B93" s="82" t="s">
        <v>366</v>
      </c>
      <c r="C93" s="82" t="str">
        <f>_xlfn.XLOOKUP(A93,Tabela1[PLACA],Tabela1[Equipes],0)</f>
        <v>QXD-LM-30B</v>
      </c>
      <c r="D93" s="82"/>
      <c r="E93" t="str">
        <f>_xlfn.XLOOKUP(A93,[1]Dados!$C$13:$C$109,[1]Dados!$DQ$13:$DQ$109,0)</f>
        <v>QUIXADÁ-CE</v>
      </c>
    </row>
    <row r="94" spans="1:6" x14ac:dyDescent="0.25">
      <c r="A94" s="79" t="s">
        <v>132</v>
      </c>
      <c r="B94" s="82" t="s">
        <v>366</v>
      </c>
      <c r="C94" s="82" t="str">
        <f>_xlfn.XLOOKUP(A94,Tabela1[PLACA],Tabela1[Equipes],0)</f>
        <v>NVR-RD-21C</v>
      </c>
      <c r="D94" s="82"/>
      <c r="E94" t="str">
        <f>_xlfn.XLOOKUP(A94,[1]Dados!$C$13:$C$109,[1]Dados!$DQ$13:$DQ$109,0)</f>
        <v>CANINDÉ-CE</v>
      </c>
    </row>
    <row r="95" spans="1:6" x14ac:dyDescent="0.25">
      <c r="A95" s="79" t="s">
        <v>250</v>
      </c>
      <c r="B95" s="82" t="s">
        <v>366</v>
      </c>
      <c r="C95" s="82" t="str">
        <f>_xlfn.XLOOKUP(A95,Tabela1[PLACA],Tabela1[Equipes],0)</f>
        <v>CND-RD-21B</v>
      </c>
      <c r="D95" s="82" t="s">
        <v>376</v>
      </c>
      <c r="E95" t="str">
        <f>_xlfn.XLOOKUP(A95,[1]Dados!$C$13:$C$109,[1]Dados!$DQ$13:$DQ$109,0)</f>
        <v>CANINDÉ-CE</v>
      </c>
    </row>
    <row r="96" spans="1:6" x14ac:dyDescent="0.25">
      <c r="A96" s="79" t="s">
        <v>187</v>
      </c>
      <c r="B96" s="82" t="s">
        <v>366</v>
      </c>
      <c r="C96" s="82" t="str">
        <f>_xlfn.XLOOKUP(A96,Tabela1[PLACA],Tabela1[Equipes],0)</f>
        <v>CAT-RD-21D</v>
      </c>
      <c r="D96" s="82"/>
      <c r="E96" t="str">
        <f>_xlfn.XLOOKUP(A96,[1]Dados!$C$13:$C$109,[1]Dados!$DQ$13:$DQ$109,0)</f>
        <v>CRATEÚS-CE</v>
      </c>
    </row>
    <row r="97" spans="1:5" x14ac:dyDescent="0.25">
      <c r="A97" s="79" t="s">
        <v>362</v>
      </c>
      <c r="B97" s="82" t="s">
        <v>366</v>
      </c>
      <c r="C97" s="82">
        <f>_xlfn.XLOOKUP(A97,Tabela1[PLACA],Tabela1[Equipes],0)</f>
        <v>0</v>
      </c>
      <c r="D97" s="82"/>
      <c r="E97" t="str">
        <f>_xlfn.XLOOKUP(A97,[1]Dados!$C$13:$C$109,[1]Dados!$DQ$13:$DQ$109,0)</f>
        <v>CANINDÉ-CE</v>
      </c>
    </row>
    <row r="98" spans="1:5" hidden="1" x14ac:dyDescent="0.25">
      <c r="A98" s="79" t="s">
        <v>106</v>
      </c>
      <c r="B98" s="82" t="s">
        <v>371</v>
      </c>
      <c r="C98" s="82" t="str">
        <f>_xlfn.XLOOKUP(A98,Tabela1[PLACA],Tabela1[Equipes],0)</f>
        <v>GRUPO A</v>
      </c>
      <c r="D98" s="82" t="s">
        <v>375</v>
      </c>
      <c r="E98" t="str">
        <f>_xlfn.XLOOKUP(A98,[1]Dados!$C$13:$C$109,[1]Dados!$DQ$13:$DQ$109,0)</f>
        <v>CANINDÉ-CE</v>
      </c>
    </row>
  </sheetData>
  <autoFilter ref="A1:F98" xr:uid="{36AC097A-0DD0-4E85-8464-4C10BF235571}">
    <filterColumn colId="1">
      <filters>
        <filter val="HILUX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selection activeCell="H9" sqref="H9"/>
    </sheetView>
  </sheetViews>
  <sheetFormatPr defaultRowHeight="15" x14ac:dyDescent="0.25"/>
  <cols>
    <col min="1" max="1" width="12" customWidth="1"/>
    <col min="2" max="2" width="16" customWidth="1"/>
    <col min="3" max="4" width="18" customWidth="1"/>
    <col min="5" max="5" width="24" customWidth="1"/>
    <col min="6" max="6" width="25" customWidth="1"/>
    <col min="7" max="7" width="28" customWidth="1"/>
    <col min="8" max="8" width="30" customWidth="1"/>
    <col min="9" max="9" width="12.42578125" bestFit="1" customWidth="1"/>
    <col min="11" max="11" width="15.85546875" bestFit="1" customWidth="1"/>
    <col min="13" max="14" width="11.7109375" bestFit="1" customWidth="1"/>
    <col min="16" max="17" width="15.85546875" bestFit="1" customWidth="1"/>
  </cols>
  <sheetData>
    <row r="1" spans="1:17" ht="21" x14ac:dyDescent="0.35">
      <c r="A1" s="100" t="s">
        <v>267</v>
      </c>
      <c r="B1" s="100"/>
      <c r="C1" s="100"/>
      <c r="D1" s="100"/>
      <c r="E1" s="100"/>
      <c r="F1" s="100"/>
      <c r="G1" s="100"/>
      <c r="H1" s="100"/>
      <c r="M1" s="41" t="s">
        <v>328</v>
      </c>
      <c r="N1" s="41" t="s">
        <v>329</v>
      </c>
    </row>
    <row r="2" spans="1:17" x14ac:dyDescent="0.25">
      <c r="K2" s="4">
        <v>6851379.4859999996</v>
      </c>
      <c r="M2" s="48">
        <v>5276284.97</v>
      </c>
      <c r="N2" s="48">
        <v>3944192.7629999998</v>
      </c>
    </row>
    <row r="3" spans="1:17" ht="30" x14ac:dyDescent="0.25">
      <c r="A3" s="7" t="s">
        <v>219</v>
      </c>
      <c r="B3" s="7" t="s">
        <v>272</v>
      </c>
      <c r="C3" s="7" t="s">
        <v>268</v>
      </c>
      <c r="D3" s="7" t="s">
        <v>222</v>
      </c>
      <c r="E3" s="7" t="s">
        <v>269</v>
      </c>
      <c r="F3" s="72" t="s">
        <v>330</v>
      </c>
      <c r="G3" s="7" t="s">
        <v>270</v>
      </c>
      <c r="H3" s="7" t="s">
        <v>271</v>
      </c>
    </row>
    <row r="4" spans="1:17" ht="15" customHeight="1" x14ac:dyDescent="0.25">
      <c r="A4" s="8">
        <v>46204</v>
      </c>
      <c r="B4">
        <v>1</v>
      </c>
      <c r="C4">
        <v>1</v>
      </c>
      <c r="D4">
        <v>87</v>
      </c>
      <c r="E4" s="9">
        <v>75054.508245109726</v>
      </c>
      <c r="F4" s="71">
        <f>SUM(E4)</f>
        <v>75054.508245109726</v>
      </c>
      <c r="G4" s="48">
        <f>$M$2-F4</f>
        <v>5201230.4617548902</v>
      </c>
      <c r="H4" s="48">
        <f>$K$2-Q4</f>
        <v>6754559.1703638081</v>
      </c>
      <c r="I4" s="48"/>
      <c r="P4" s="71">
        <v>96820.315636191546</v>
      </c>
      <c r="Q4" s="71">
        <f>SUM(P4)</f>
        <v>96820.315636191546</v>
      </c>
    </row>
    <row r="5" spans="1:17" x14ac:dyDescent="0.25">
      <c r="A5" s="8">
        <v>46235</v>
      </c>
      <c r="B5">
        <v>3</v>
      </c>
      <c r="C5">
        <v>4</v>
      </c>
      <c r="D5">
        <v>84</v>
      </c>
      <c r="E5" s="9">
        <v>200811.31217623054</v>
      </c>
      <c r="F5" s="71">
        <f>SUM(E4:E5)</f>
        <v>275865.82042134029</v>
      </c>
      <c r="G5" s="48">
        <f t="shared" ref="G5:G9" si="0">$M$2-F5</f>
        <v>5000419.1495786598</v>
      </c>
      <c r="H5" s="48">
        <f t="shared" ref="H5:H9" si="1">$K$2-Q5</f>
        <v>6495512.5803638082</v>
      </c>
      <c r="I5" s="48"/>
      <c r="P5" s="4">
        <v>259046.59</v>
      </c>
      <c r="Q5" s="71">
        <f>SUM(P4:P5)</f>
        <v>355866.90563619154</v>
      </c>
    </row>
    <row r="6" spans="1:17" x14ac:dyDescent="0.25">
      <c r="A6" s="8">
        <v>46266</v>
      </c>
      <c r="B6">
        <v>4</v>
      </c>
      <c r="C6">
        <v>8</v>
      </c>
      <c r="D6">
        <v>80</v>
      </c>
      <c r="E6" s="9">
        <v>300218.0329804389</v>
      </c>
      <c r="F6" s="4">
        <f>SUM(E4:E6)</f>
        <v>576083.8534017792</v>
      </c>
      <c r="G6" s="48">
        <f t="shared" si="0"/>
        <v>4700201.1165982205</v>
      </c>
      <c r="H6" s="48">
        <f t="shared" si="1"/>
        <v>6108231.3203638084</v>
      </c>
      <c r="I6" s="48"/>
      <c r="P6" s="4">
        <v>387281.26</v>
      </c>
      <c r="Q6" s="4">
        <f>SUM(P4:P6)</f>
        <v>743148.16563619161</v>
      </c>
    </row>
    <row r="7" spans="1:17" x14ac:dyDescent="0.25">
      <c r="A7" s="8">
        <v>46296</v>
      </c>
      <c r="B7">
        <v>8</v>
      </c>
      <c r="C7">
        <v>16</v>
      </c>
      <c r="D7">
        <v>72</v>
      </c>
      <c r="E7" s="9">
        <v>576083.85340177908</v>
      </c>
      <c r="F7" s="4">
        <f>SUM(E4:E7)</f>
        <v>1152167.7068035584</v>
      </c>
      <c r="G7" s="48">
        <f t="shared" si="0"/>
        <v>4124117.2631964413</v>
      </c>
      <c r="H7" s="48">
        <f t="shared" si="1"/>
        <v>5365083.1503638085</v>
      </c>
      <c r="I7" s="48"/>
      <c r="P7" s="4">
        <v>743148.17</v>
      </c>
      <c r="Q7" s="4">
        <f>SUM(P4:P7)</f>
        <v>1486296.3356361915</v>
      </c>
    </row>
    <row r="8" spans="1:17" x14ac:dyDescent="0.25">
      <c r="A8" s="8">
        <v>46327</v>
      </c>
      <c r="B8">
        <v>11</v>
      </c>
      <c r="C8">
        <v>27</v>
      </c>
      <c r="D8">
        <v>61</v>
      </c>
      <c r="E8" s="9">
        <v>801247.37813710817</v>
      </c>
      <c r="F8" s="4">
        <f>SUM(E4:E8)</f>
        <v>1953415.0849406666</v>
      </c>
      <c r="G8" s="48">
        <f t="shared" si="0"/>
        <v>3322869.8850593334</v>
      </c>
      <c r="H8" s="48">
        <f t="shared" si="1"/>
        <v>4331474.0303638075</v>
      </c>
      <c r="I8" s="48"/>
      <c r="P8" s="4">
        <v>1033609.12</v>
      </c>
      <c r="Q8" s="4">
        <f>SUM(P4:P8)</f>
        <v>2519905.4556361916</v>
      </c>
    </row>
    <row r="9" spans="1:17" x14ac:dyDescent="0.25">
      <c r="A9" s="8">
        <v>46357</v>
      </c>
      <c r="B9">
        <v>4</v>
      </c>
      <c r="C9">
        <v>31</v>
      </c>
      <c r="D9">
        <v>57</v>
      </c>
      <c r="E9" s="9">
        <v>300218.0329804389</v>
      </c>
      <c r="F9" s="4">
        <f>SUM(E4:E9)</f>
        <v>2253633.1179211056</v>
      </c>
      <c r="G9" s="48">
        <f t="shared" si="0"/>
        <v>3022651.8520788942</v>
      </c>
      <c r="H9" s="48">
        <f t="shared" si="1"/>
        <v>3944192.7703638077</v>
      </c>
      <c r="I9" s="48"/>
      <c r="P9" s="4">
        <v>387281.26</v>
      </c>
      <c r="Q9" s="4">
        <f>SUM(P4:P9)</f>
        <v>2907186.7156361919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d07be0-daad-4fe6-8044-a4670492bf1a">
      <Terms xmlns="http://schemas.microsoft.com/office/infopath/2007/PartnerControls"/>
    </lcf76f155ced4ddcb4097134ff3c332f>
    <TaxCatchAll xmlns="8ebc21bb-c93a-45a4-9471-a4fd2c56e3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E34D09C0B62D4CBD2A83E3422B1450" ma:contentTypeVersion="12" ma:contentTypeDescription="Crie um novo documento." ma:contentTypeScope="" ma:versionID="9452669372e814b53477f57ee229a118">
  <xsd:schema xmlns:xsd="http://www.w3.org/2001/XMLSchema" xmlns:xs="http://www.w3.org/2001/XMLSchema" xmlns:p="http://schemas.microsoft.com/office/2006/metadata/properties" xmlns:ns2="a0d07be0-daad-4fe6-8044-a4670492bf1a" xmlns:ns3="8ebc21bb-c93a-45a4-9471-a4fd2c56e3b6" targetNamespace="http://schemas.microsoft.com/office/2006/metadata/properties" ma:root="true" ma:fieldsID="be07b165b55646805d29d4ad249dbc82" ns2:_="" ns3:_="">
    <xsd:import namespace="a0d07be0-daad-4fe6-8044-a4670492bf1a"/>
    <xsd:import namespace="8ebc21bb-c93a-45a4-9471-a4fd2c56e3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07be0-daad-4fe6-8044-a4670492bf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98bb99-fda5-4d71-9ebb-1cdf427b05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c21bb-c93a-45a4-9471-a4fd2c56e3b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74b0b23-c3db-467e-8c0d-c7fc2db28f2a}" ma:internalName="TaxCatchAll" ma:showField="CatchAllData" ma:web="8ebc21bb-c93a-45a4-9471-a4fd2c56e3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06115-8BFD-4986-9147-45458AFB8428}">
  <ds:schemaRefs>
    <ds:schemaRef ds:uri="http://schemas.microsoft.com/office/2006/metadata/properties"/>
    <ds:schemaRef ds:uri="http://schemas.microsoft.com/office/infopath/2007/PartnerControls"/>
    <ds:schemaRef ds:uri="a0d07be0-daad-4fe6-8044-a4670492bf1a"/>
    <ds:schemaRef ds:uri="8ebc21bb-c93a-45a4-9471-a4fd2c56e3b6"/>
  </ds:schemaRefs>
</ds:datastoreItem>
</file>

<file path=customXml/itemProps2.xml><?xml version="1.0" encoding="utf-8"?>
<ds:datastoreItem xmlns:ds="http://schemas.openxmlformats.org/officeDocument/2006/customXml" ds:itemID="{7B9C49E7-C4FD-42FF-B2FA-A162C28773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5AB4D-4FE5-475C-B9F8-DEDED3D41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d07be0-daad-4fe6-8044-a4670492bf1a"/>
    <ds:schemaRef ds:uri="8ebc21bb-c93a-45a4-9471-a4fd2c56e3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Painel</vt:lpstr>
      <vt:lpstr>Cortes</vt:lpstr>
      <vt:lpstr>Base - Equipes Placas</vt:lpstr>
      <vt:lpstr>Ajuste</vt:lpstr>
      <vt:lpstr>Plano Viaturas</vt:lpstr>
      <vt:lpstr>Viaturas</vt:lpstr>
      <vt:lpstr>Resumo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Lucila Maria Cabral Araujo</cp:lastModifiedBy>
  <dcterms:created xsi:type="dcterms:W3CDTF">2026-08-26T14:40:07Z</dcterms:created>
  <dcterms:modified xsi:type="dcterms:W3CDTF">2026-08-31T11:09:56Z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0x01010049E34D09C0B62D4CBD2A83E3422B1450</vt:lpwstr>
  </property>
  <property fmtid="{D5CDD505-2E9C-101B-9397-08002B2CF9AE}" pid="3" name="MediaServiceImageTags">
    <vt:lpwstr/>
  </property>
</Properties>
</file>